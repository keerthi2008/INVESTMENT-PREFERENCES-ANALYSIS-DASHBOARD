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tables/table3.xml" ContentType="application/vnd.openxmlformats-officedocument.spreadsheetml.tab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tables/table4.xml" ContentType="application/vnd.openxmlformats-officedocument.spreadsheetml.tab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Ex2.xml" ContentType="application/vnd.ms-office.chartex+xml"/>
  <Override PartName="/xl/charts/style17.xml" ContentType="application/vnd.ms-office.chartstyle+xml"/>
  <Override PartName="/xl/charts/colors17.xml" ContentType="application/vnd.ms-office.chartcolorstyle+xml"/>
  <Override PartName="/xl/drawings/drawing6.xml" ContentType="application/vnd.openxmlformats-officedocument.drawing+xml"/>
  <Override PartName="/xl/tables/table5.xml" ContentType="application/vnd.openxmlformats-officedocument.spreadsheetml.tab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d.docs.live.net/76ce9bce12833722/Documents/"/>
    </mc:Choice>
  </mc:AlternateContent>
  <xr:revisionPtr revIDLastSave="472" documentId="8_{C1C700A4-0A89-45F8-82EC-4A88E46DFD61}" xr6:coauthVersionLast="47" xr6:coauthVersionMax="47" xr10:uidLastSave="{7161803F-769A-4942-AC33-0C57E1B450E7}"/>
  <bookViews>
    <workbookView xWindow="5712" yWindow="96" windowWidth="17280" windowHeight="8880" xr2:uid="{5CFF36E6-D23B-40F9-948D-E940E8CBFEDE}"/>
  </bookViews>
  <sheets>
    <sheet name="DASHBOARD" sheetId="1" r:id="rId1"/>
    <sheet name="task1" sheetId="2" r:id="rId2"/>
    <sheet name="task2" sheetId="3" r:id="rId3"/>
    <sheet name="task3" sheetId="4" r:id="rId4"/>
    <sheet name="task4" sheetId="5" r:id="rId5"/>
    <sheet name="task5" sheetId="6" r:id="rId6"/>
  </sheets>
  <externalReferences>
    <externalReference r:id="rId7"/>
  </externalReferences>
  <definedNames>
    <definedName name="_xlchart.v1.0" hidden="1">task4!$O$1:$O$40</definedName>
    <definedName name="_xlchart.v1.1" hidden="1">task4!$O$41</definedName>
    <definedName name="_xlchart.v1.2" hidden="1">task4!$O$1:$O$40</definedName>
    <definedName name="_xlchart.v1.3" hidden="1">task4!$O$41</definedName>
    <definedName name="Slicer_age">#N/A</definedName>
    <definedName name="Slicer_gender">#N/A</definedName>
    <definedName name="Slicer_gender1">#N/A</definedName>
    <definedName name="Slicer_Investment_Avenues">#N/A</definedName>
    <definedName name="Slicer_Investment_Avenues1">#N/A</definedName>
    <definedName name="Slicer_Objective">#N/A</definedName>
  </definedNames>
  <calcPr calcId="191029"/>
  <pivotCaches>
    <pivotCache cacheId="0" r:id="rId8"/>
    <pivotCache cacheId="1" r:id="rId9"/>
    <pivotCache cacheId="2" r:id="rId10"/>
    <pivotCache cacheId="3"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3" i="6" l="1"/>
  <c r="T2" i="6"/>
  <c r="T4" i="6"/>
  <c r="T41" i="6"/>
  <c r="C41" i="6"/>
  <c r="B41" i="6"/>
  <c r="T40" i="6"/>
  <c r="C40" i="6"/>
  <c r="B40" i="6"/>
  <c r="T39" i="6"/>
  <c r="C39" i="6"/>
  <c r="B39" i="6"/>
  <c r="T38" i="6"/>
  <c r="C38" i="6"/>
  <c r="B38" i="6"/>
  <c r="T37" i="6"/>
  <c r="C37" i="6"/>
  <c r="B37" i="6"/>
  <c r="T36" i="6"/>
  <c r="C36" i="6"/>
  <c r="B36" i="6"/>
  <c r="T35" i="6"/>
  <c r="C35" i="6"/>
  <c r="B35" i="6"/>
  <c r="T34" i="6"/>
  <c r="C34" i="6"/>
  <c r="B34" i="6"/>
  <c r="T33" i="6"/>
  <c r="C33" i="6"/>
  <c r="B33" i="6"/>
  <c r="T32" i="6"/>
  <c r="C32" i="6"/>
  <c r="B32" i="6"/>
  <c r="T31" i="6"/>
  <c r="C31" i="6"/>
  <c r="B31" i="6"/>
  <c r="T30" i="6"/>
  <c r="C30" i="6"/>
  <c r="B30" i="6"/>
  <c r="T29" i="6"/>
  <c r="C29" i="6"/>
  <c r="B29" i="6"/>
  <c r="T28" i="6"/>
  <c r="C28" i="6"/>
  <c r="B28" i="6"/>
  <c r="T27" i="6"/>
  <c r="C27" i="6"/>
  <c r="B27" i="6"/>
  <c r="T26" i="6"/>
  <c r="C26" i="6"/>
  <c r="B26" i="6"/>
  <c r="T25" i="6"/>
  <c r="C25" i="6"/>
  <c r="B25" i="6"/>
  <c r="T24" i="6"/>
  <c r="C24" i="6"/>
  <c r="B24" i="6"/>
  <c r="T23" i="6"/>
  <c r="C23" i="6"/>
  <c r="B23" i="6"/>
  <c r="T22" i="6"/>
  <c r="C22" i="6"/>
  <c r="B22" i="6"/>
  <c r="T21" i="6"/>
  <c r="C21" i="6"/>
  <c r="B21" i="6"/>
  <c r="T20" i="6"/>
  <c r="C20" i="6"/>
  <c r="B20" i="6"/>
  <c r="T19" i="6"/>
  <c r="C19" i="6"/>
  <c r="B19" i="6"/>
  <c r="T18" i="6"/>
  <c r="C18" i="6"/>
  <c r="B18" i="6"/>
  <c r="T17" i="6"/>
  <c r="C17" i="6"/>
  <c r="B17" i="6"/>
  <c r="T16" i="6"/>
  <c r="C16" i="6"/>
  <c r="B16" i="6"/>
  <c r="T15" i="6"/>
  <c r="C15" i="6"/>
  <c r="B15" i="6"/>
  <c r="T14" i="6"/>
  <c r="C14" i="6"/>
  <c r="B14" i="6"/>
  <c r="T13" i="6"/>
  <c r="C13" i="6"/>
  <c r="B13" i="6"/>
  <c r="T12" i="6"/>
  <c r="C12" i="6"/>
  <c r="B12" i="6"/>
  <c r="T11" i="6"/>
  <c r="C11" i="6"/>
  <c r="B11" i="6"/>
  <c r="T10" i="6"/>
  <c r="C10" i="6"/>
  <c r="B10" i="6"/>
  <c r="T9" i="6"/>
  <c r="C9" i="6"/>
  <c r="B9" i="6"/>
  <c r="T8" i="6"/>
  <c r="C8" i="6"/>
  <c r="B8" i="6"/>
  <c r="T7" i="6"/>
  <c r="C7" i="6"/>
  <c r="B7" i="6"/>
  <c r="T6" i="6"/>
  <c r="C6" i="6"/>
  <c r="B6" i="6"/>
  <c r="T5" i="6"/>
  <c r="C5" i="6"/>
  <c r="B5" i="6"/>
  <c r="C4" i="6"/>
  <c r="B4" i="6"/>
  <c r="C3" i="6"/>
  <c r="B3" i="6"/>
  <c r="C2" i="6"/>
  <c r="B2" i="6"/>
</calcChain>
</file>

<file path=xl/sharedStrings.xml><?xml version="1.0" encoding="utf-8"?>
<sst xmlns="http://schemas.openxmlformats.org/spreadsheetml/2006/main" count="3446" uniqueCount="99">
  <si>
    <t>gender</t>
  </si>
  <si>
    <t>age</t>
  </si>
  <si>
    <t>Investment_Avenues</t>
  </si>
  <si>
    <t>Mutual_Funds</t>
  </si>
  <si>
    <t>Equity_Market</t>
  </si>
  <si>
    <t>Debentures</t>
  </si>
  <si>
    <t>Government_Bonds</t>
  </si>
  <si>
    <t>Fixed_Deposits</t>
  </si>
  <si>
    <t>PPF</t>
  </si>
  <si>
    <t>Gold</t>
  </si>
  <si>
    <t>Stock_Marktet</t>
  </si>
  <si>
    <t>Factor</t>
  </si>
  <si>
    <t>Objective</t>
  </si>
  <si>
    <t>Purpose</t>
  </si>
  <si>
    <t>Duration</t>
  </si>
  <si>
    <t>Invest_Monitor</t>
  </si>
  <si>
    <t>Expect</t>
  </si>
  <si>
    <t>Avenue</t>
  </si>
  <si>
    <t>What are your savings objectives?</t>
  </si>
  <si>
    <t>Reason_Equity</t>
  </si>
  <si>
    <t>Reason_Mutual</t>
  </si>
  <si>
    <t>Reason_Bonds</t>
  </si>
  <si>
    <t>Reason_FD</t>
  </si>
  <si>
    <t>Source</t>
  </si>
  <si>
    <t>Female</t>
  </si>
  <si>
    <t>Yes</t>
  </si>
  <si>
    <t>Returns</t>
  </si>
  <si>
    <t>Capital Appreciation</t>
  </si>
  <si>
    <t>Wealth Creation</t>
  </si>
  <si>
    <t>1-3 years</t>
  </si>
  <si>
    <t>Monthly</t>
  </si>
  <si>
    <t>20%-30%</t>
  </si>
  <si>
    <t>Mutual Fund</t>
  </si>
  <si>
    <t>Retirement Plan</t>
  </si>
  <si>
    <t>Better Returns</t>
  </si>
  <si>
    <t>Safe Investment</t>
  </si>
  <si>
    <t>Fixed Returns</t>
  </si>
  <si>
    <t>Newspapers and Magazines</t>
  </si>
  <si>
    <t>No</t>
  </si>
  <si>
    <t>Locking Period</t>
  </si>
  <si>
    <t>More than 5 years</t>
  </si>
  <si>
    <t>Weekly</t>
  </si>
  <si>
    <t>Health Care</t>
  </si>
  <si>
    <t>Dividend</t>
  </si>
  <si>
    <t>High Interest Rates</t>
  </si>
  <si>
    <t>Financial Consultants</t>
  </si>
  <si>
    <t>Male</t>
  </si>
  <si>
    <t>3-5 years</t>
  </si>
  <si>
    <t>Daily</t>
  </si>
  <si>
    <t>Equity</t>
  </si>
  <si>
    <t>Tax Benefits</t>
  </si>
  <si>
    <t>Assured Returns</t>
  </si>
  <si>
    <t>Television</t>
  </si>
  <si>
    <t>Income</t>
  </si>
  <si>
    <t>Less than 1 year</t>
  </si>
  <si>
    <t>10%-20%</t>
  </si>
  <si>
    <t>Fund Diversification</t>
  </si>
  <si>
    <t>Tax Incentives</t>
  </si>
  <si>
    <t>Internet</t>
  </si>
  <si>
    <t>Risk Free</t>
  </si>
  <si>
    <t>Risk</t>
  </si>
  <si>
    <t>30%-40%</t>
  </si>
  <si>
    <t>Liquidity</t>
  </si>
  <si>
    <t>Growth</t>
  </si>
  <si>
    <t>Savings for Future</t>
  </si>
  <si>
    <t>Fixed Deposits</t>
  </si>
  <si>
    <t>Education</t>
  </si>
  <si>
    <t>Public Provident Fund</t>
  </si>
  <si>
    <t>Row Labels</t>
  </si>
  <si>
    <t>Count of gender</t>
  </si>
  <si>
    <t>Grand Total</t>
  </si>
  <si>
    <t>Count of Investment_Avenues</t>
  </si>
  <si>
    <t>Count of Reason_Equity</t>
  </si>
  <si>
    <t>Count of Reason_Mutual</t>
  </si>
  <si>
    <t>Count of Reason_Bonds</t>
  </si>
  <si>
    <t>Count of Reason_FD</t>
  </si>
  <si>
    <t>Assured Returns Total</t>
  </si>
  <si>
    <t>Safe Investment Total</t>
  </si>
  <si>
    <t>Better Returns Total</t>
  </si>
  <si>
    <t>Fund Diversification Total</t>
  </si>
  <si>
    <t>Tax Benefits Total</t>
  </si>
  <si>
    <t>Capital Appreciation Total</t>
  </si>
  <si>
    <t>Tax Incentives Total</t>
  </si>
  <si>
    <t>Dividend Total</t>
  </si>
  <si>
    <t>Liquidity Total</t>
  </si>
  <si>
    <t>Count of What are your savings objectives?</t>
  </si>
  <si>
    <t>Count of Source</t>
  </si>
  <si>
    <t>Count of Duration</t>
  </si>
  <si>
    <t>Count of Expect</t>
  </si>
  <si>
    <t xml:space="preserve"> Duration_number </t>
  </si>
  <si>
    <t>except _number</t>
  </si>
  <si>
    <t>expect_number</t>
  </si>
  <si>
    <t xml:space="preserve"> </t>
  </si>
  <si>
    <r>
      <rPr>
        <b/>
        <sz val="36"/>
        <color theme="1"/>
        <rFont val="Calibri"/>
        <family val="2"/>
      </rPr>
      <t>INVESTMENT PREFERENCES ANALYSIS DASHBOARD</t>
    </r>
    <r>
      <rPr>
        <b/>
        <sz val="24"/>
        <color theme="1"/>
        <rFont val="Calibri"/>
        <family val="2"/>
      </rPr>
      <t xml:space="preserve"> </t>
    </r>
  </si>
  <si>
    <t>1  .GENDER DISTRIBUTION ANALYSIS :</t>
  </si>
  <si>
    <t>2  .INVESTMENT PREFERENCE ANALYSIS :</t>
  </si>
  <si>
    <t>3  .OBJECTIVE AND SOURCE ANALYSIS :</t>
  </si>
  <si>
    <t>4  .DURATION AND EXPECTATION ANALYSIS :</t>
  </si>
  <si>
    <t>5  .CORRELATION ANALYSIS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</si>
</sst>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i/>
      <sz val="11"/>
      <color theme="1"/>
      <name val="Aptos Narrow"/>
      <family val="2"/>
      <scheme val="minor"/>
    </font>
    <font>
      <b/>
      <sz val="20"/>
      <color theme="1"/>
      <name val="Calibri"/>
      <family val="2"/>
    </font>
    <font>
      <sz val="9"/>
      <color theme="1"/>
      <name val="Calibri"/>
      <family val="2"/>
    </font>
    <font>
      <sz val="18"/>
      <color theme="1"/>
      <name val="Calibri"/>
      <family val="2"/>
    </font>
    <font>
      <b/>
      <sz val="24"/>
      <color theme="1"/>
      <name val="Calibri"/>
      <family val="2"/>
    </font>
    <font>
      <b/>
      <sz val="36"/>
      <color theme="1"/>
      <name val="Calibri"/>
      <family val="2"/>
    </font>
    <font>
      <b/>
      <sz val="16"/>
      <color theme="1"/>
      <name val="Calibri"/>
      <family val="2"/>
    </font>
    <font>
      <b/>
      <i/>
      <sz val="16"/>
      <color theme="1"/>
      <name val="Calibri"/>
      <family val="2"/>
    </font>
    <font>
      <sz val="8"/>
      <name val="Aptos Narrow"/>
      <family val="2"/>
      <scheme val="minor"/>
    </font>
  </fonts>
  <fills count="4">
    <fill>
      <patternFill patternType="none"/>
    </fill>
    <fill>
      <patternFill patternType="gray125"/>
    </fill>
    <fill>
      <patternFill patternType="solid">
        <fgColor theme="7" tint="0.39997558519241921"/>
        <bgColor indexed="64"/>
      </patternFill>
    </fill>
    <fill>
      <patternFill patternType="solid">
        <fgColor rgb="FF00B0F0"/>
        <bgColor indexed="64"/>
      </patternFill>
    </fill>
  </fills>
  <borders count="3">
    <border>
      <left/>
      <right/>
      <top/>
      <bottom/>
      <diagonal/>
    </border>
    <border>
      <left/>
      <right/>
      <top style="medium">
        <color indexed="64"/>
      </top>
      <bottom style="thin">
        <color indexed="64"/>
      </bottom>
      <diagonal/>
    </border>
    <border>
      <left/>
      <right/>
      <top/>
      <bottom style="medium">
        <color indexed="64"/>
      </bottom>
      <diagonal/>
    </border>
  </borders>
  <cellStyleXfs count="1">
    <xf numFmtId="0" fontId="0" fillId="0" borderId="0"/>
  </cellStyleXfs>
  <cellXfs count="14">
    <xf numFmtId="0" fontId="0" fillId="0" borderId="0" xfId="0"/>
    <xf numFmtId="0" fontId="0" fillId="0" borderId="0" xfId="0" applyAlignment="1">
      <alignment horizontal="left"/>
    </xf>
    <xf numFmtId="0" fontId="0" fillId="0" borderId="0" xfId="0" pivotButton="1"/>
    <xf numFmtId="0" fontId="1" fillId="2" borderId="1" xfId="0" applyFont="1" applyFill="1" applyBorder="1" applyAlignment="1">
      <alignment horizontal="center"/>
    </xf>
    <xf numFmtId="0" fontId="0" fillId="2" borderId="0" xfId="0" applyFill="1"/>
    <xf numFmtId="0" fontId="0" fillId="2" borderId="2" xfId="0" applyFill="1" applyBorder="1"/>
    <xf numFmtId="0" fontId="3" fillId="3" borderId="0" xfId="0" applyFont="1" applyFill="1" applyAlignment="1">
      <alignment horizontal="center"/>
    </xf>
    <xf numFmtId="0" fontId="2" fillId="3" borderId="0" xfId="0" applyFont="1" applyFill="1"/>
    <xf numFmtId="0" fontId="0" fillId="3" borderId="0" xfId="0" applyFill="1"/>
    <xf numFmtId="0" fontId="8" fillId="3" borderId="0" xfId="0" applyFont="1" applyFill="1" applyAlignment="1">
      <alignment horizontal="center"/>
    </xf>
    <xf numFmtId="0" fontId="4" fillId="3" borderId="0" xfId="0" applyFont="1" applyFill="1" applyAlignment="1">
      <alignment horizontal="center"/>
    </xf>
    <xf numFmtId="0" fontId="8" fillId="3" borderId="0" xfId="0" applyFont="1" applyFill="1" applyAlignment="1">
      <alignment horizontal="center"/>
    </xf>
    <xf numFmtId="0" fontId="5" fillId="3" borderId="0" xfId="0" applyFont="1" applyFill="1" applyAlignment="1">
      <alignment horizontal="center"/>
    </xf>
    <xf numFmtId="0" fontId="7" fillId="3" borderId="0" xfId="0" applyFont="1" applyFill="1" applyAlignment="1">
      <alignment horizontal="center"/>
    </xf>
  </cellXfs>
  <cellStyles count="1">
    <cellStyle name="Normal" xfId="0" builtinId="0"/>
  </cellStyles>
  <dxfs count="29">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2.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externalLink" Target="externalLinks/externalLink1.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3.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gender distribution of  participants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8BE-4B7C-B6B6-82151A92D06A}"/>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B8BE-4B7C-B6B6-82151A92D06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2"/>
              <c:pt idx="0">
                <c:v>Female</c:v>
              </c:pt>
              <c:pt idx="1">
                <c:v>Male</c:v>
              </c:pt>
            </c:strLit>
          </c:cat>
          <c:val>
            <c:numLit>
              <c:formatCode>General</c:formatCode>
              <c:ptCount val="2"/>
              <c:pt idx="0">
                <c:v>15</c:v>
              </c:pt>
              <c:pt idx="1">
                <c:v>25</c:v>
              </c:pt>
            </c:numLit>
          </c:val>
          <c:extLst>
            <c:ext xmlns:c16="http://schemas.microsoft.com/office/drawing/2014/chart" uri="{C3380CC4-5D6E-409C-BE32-E72D297353CC}">
              <c16:uniqueId val="{00000004-B8BE-4B7C-B6B6-82151A92D06A}"/>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INVESTMENT PREFERENCES OF PARTICIPANTS </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2804446902605E-2"/>
          <c:y val="0.13173118107554405"/>
          <c:w val="0.80930250359656086"/>
          <c:h val="0.8317859985274364"/>
        </c:manualLayout>
      </c:layout>
      <c:barChart>
        <c:barDir val="col"/>
        <c:grouping val="clustered"/>
        <c:varyColors val="0"/>
        <c:ser>
          <c:idx val="0"/>
          <c:order val="0"/>
          <c:tx>
            <c:v>Total</c:v>
          </c:tx>
          <c:spPr>
            <a:pattFill prst="ltUpDiag">
              <a:fgClr>
                <a:schemeClr val="accent1"/>
              </a:fgClr>
              <a:bgClr>
                <a:schemeClr val="lt1"/>
              </a:bgClr>
            </a:pattFill>
            <a:ln>
              <a:noFill/>
            </a:ln>
            <a:effectLst/>
          </c:spPr>
          <c:invertIfNegative val="0"/>
          <c:cat>
            <c:strLit>
              <c:ptCount val="2"/>
              <c:pt idx="0">
                <c:v>No</c:v>
              </c:pt>
              <c:pt idx="1">
                <c:v>Yes</c:v>
              </c:pt>
            </c:strLit>
          </c:cat>
          <c:val>
            <c:numLit>
              <c:formatCode>General</c:formatCode>
              <c:ptCount val="2"/>
              <c:pt idx="0">
                <c:v>3</c:v>
              </c:pt>
              <c:pt idx="1">
                <c:v>37</c:v>
              </c:pt>
            </c:numLit>
          </c:val>
          <c:extLst>
            <c:ext xmlns:c16="http://schemas.microsoft.com/office/drawing/2014/chart" uri="{C3380CC4-5D6E-409C-BE32-E72D297353CC}">
              <c16:uniqueId val="{00000000-848E-4662-9829-6877BABF6A76}"/>
            </c:ext>
          </c:extLst>
        </c:ser>
        <c:dLbls>
          <c:showLegendKey val="0"/>
          <c:showVal val="0"/>
          <c:showCatName val="0"/>
          <c:showSerName val="0"/>
          <c:showPercent val="0"/>
          <c:showBubbleSize val="0"/>
        </c:dLbls>
        <c:gapWidth val="269"/>
        <c:overlap val="-20"/>
        <c:axId val="780589968"/>
        <c:axId val="780590448"/>
      </c:barChart>
      <c:catAx>
        <c:axId val="780589968"/>
        <c:scaling>
          <c:orientation val="minMax"/>
        </c:scaling>
        <c:delete val="0"/>
        <c:axPos val="b"/>
        <c:majorGridlines>
          <c:spPr>
            <a:ln w="9525" cap="flat" cmpd="sng" algn="ctr">
              <a:solidFill>
                <a:schemeClr val="lt1">
                  <a:alpha val="2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investment type </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780590448"/>
        <c:crosses val="autoZero"/>
        <c:auto val="1"/>
        <c:lblAlgn val="ctr"/>
        <c:lblOffset val="100"/>
        <c:noMultiLvlLbl val="0"/>
      </c:catAx>
      <c:valAx>
        <c:axId val="780590448"/>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number of paticipants </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80589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REASONS</a:t>
            </a:r>
            <a:r>
              <a:rPr lang="en-IN" baseline="0"/>
              <a:t>  FOR CHOOSING INVESTMENT AVENUES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Count of Reason_Equity</c:v>
          </c:tx>
          <c:spPr>
            <a:solidFill>
              <a:schemeClr val="accent1"/>
            </a:solidFill>
            <a:ln>
              <a:noFill/>
            </a:ln>
            <a:effectLst/>
          </c:spPr>
          <c:invertIfNegative val="0"/>
          <c:cat>
            <c:strLit>
              <c:ptCount val="18"/>
              <c:pt idx="0">
                <c:v>Capital Appreciation Better Returns Assured Returns Fixed Returns</c:v>
              </c:pt>
              <c:pt idx="1">
                <c:v>Capital Appreciation Better Returns Assured Returns High Interest Rates</c:v>
              </c:pt>
              <c:pt idx="2">
                <c:v>Capital Appreciation Better Returns Assured Returns Risk Free</c:v>
              </c:pt>
              <c:pt idx="3">
                <c:v>Capital Appreciation Better Returns Safe Investment Fixed Returns</c:v>
              </c:pt>
              <c:pt idx="4">
                <c:v>Capital Appreciation Better Returns Safe Investment Risk Free</c:v>
              </c:pt>
              <c:pt idx="5">
                <c:v>Capital Appreciation Fund Diversification Assured Returns Fixed Returns</c:v>
              </c:pt>
              <c:pt idx="6">
                <c:v>Capital Appreciation Fund Diversification Assured Returns Risk Free</c:v>
              </c:pt>
              <c:pt idx="7">
                <c:v>Capital Appreciation Fund Diversification Safe Investment Fixed Returns</c:v>
              </c:pt>
              <c:pt idx="8">
                <c:v>Capital Appreciation Tax Benefits Assured Returns Fixed Returns</c:v>
              </c:pt>
              <c:pt idx="9">
                <c:v>Capital Appreciation Tax Benefits Safe Investment Fixed Returns</c:v>
              </c:pt>
              <c:pt idx="10">
                <c:v>Dividend Better Returns Assured Returns Risk Free</c:v>
              </c:pt>
              <c:pt idx="11">
                <c:v>Dividend Better Returns Safe Investment Fixed Returns</c:v>
              </c:pt>
              <c:pt idx="12">
                <c:v>Dividend Better Returns Safe Investment High Interest Rates</c:v>
              </c:pt>
              <c:pt idx="13">
                <c:v>Dividend Better Returns Safe Investment Risk Free</c:v>
              </c:pt>
              <c:pt idx="14">
                <c:v>Dividend Fund Diversification Assured Returns Fixed Returns</c:v>
              </c:pt>
              <c:pt idx="15">
                <c:v>Dividend Fund Diversification Tax Incentives High Interest Rates</c:v>
              </c:pt>
              <c:pt idx="16">
                <c:v>Liquidity Better Returns Assured Returns Risk Free</c:v>
              </c:pt>
              <c:pt idx="17">
                <c:v>Liquidity Fund Diversification Safe Investment Risk Free</c:v>
              </c:pt>
            </c:strLit>
          </c:cat>
          <c:val>
            <c:numLit>
              <c:formatCode>General</c:formatCode>
              <c:ptCount val="18"/>
              <c:pt idx="0">
                <c:v>4</c:v>
              </c:pt>
              <c:pt idx="1">
                <c:v>1</c:v>
              </c:pt>
              <c:pt idx="2">
                <c:v>9</c:v>
              </c:pt>
              <c:pt idx="3">
                <c:v>3</c:v>
              </c:pt>
              <c:pt idx="4">
                <c:v>1</c:v>
              </c:pt>
              <c:pt idx="5">
                <c:v>3</c:v>
              </c:pt>
              <c:pt idx="6">
                <c:v>4</c:v>
              </c:pt>
              <c:pt idx="7">
                <c:v>2</c:v>
              </c:pt>
              <c:pt idx="8">
                <c:v>1</c:v>
              </c:pt>
              <c:pt idx="9">
                <c:v>2</c:v>
              </c:pt>
              <c:pt idx="10">
                <c:v>1</c:v>
              </c:pt>
              <c:pt idx="11">
                <c:v>1</c:v>
              </c:pt>
              <c:pt idx="12">
                <c:v>1</c:v>
              </c:pt>
              <c:pt idx="13">
                <c:v>2</c:v>
              </c:pt>
              <c:pt idx="14">
                <c:v>2</c:v>
              </c:pt>
              <c:pt idx="15">
                <c:v>1</c:v>
              </c:pt>
              <c:pt idx="16">
                <c:v>1</c:v>
              </c:pt>
              <c:pt idx="17">
                <c:v>1</c:v>
              </c:pt>
            </c:numLit>
          </c:val>
          <c:extLst>
            <c:ext xmlns:c16="http://schemas.microsoft.com/office/drawing/2014/chart" uri="{C3380CC4-5D6E-409C-BE32-E72D297353CC}">
              <c16:uniqueId val="{00000000-36BE-448E-A216-E22730E07706}"/>
            </c:ext>
          </c:extLst>
        </c:ser>
        <c:ser>
          <c:idx val="1"/>
          <c:order val="1"/>
          <c:tx>
            <c:v>Count of Reason_Mutual</c:v>
          </c:tx>
          <c:spPr>
            <a:solidFill>
              <a:schemeClr val="accent2"/>
            </a:solidFill>
            <a:ln>
              <a:noFill/>
            </a:ln>
            <a:effectLst/>
          </c:spPr>
          <c:invertIfNegative val="0"/>
          <c:cat>
            <c:strLit>
              <c:ptCount val="18"/>
              <c:pt idx="0">
                <c:v>Capital Appreciation Better Returns Assured Returns Fixed Returns</c:v>
              </c:pt>
              <c:pt idx="1">
                <c:v>Capital Appreciation Better Returns Assured Returns High Interest Rates</c:v>
              </c:pt>
              <c:pt idx="2">
                <c:v>Capital Appreciation Better Returns Assured Returns Risk Free</c:v>
              </c:pt>
              <c:pt idx="3">
                <c:v>Capital Appreciation Better Returns Safe Investment Fixed Returns</c:v>
              </c:pt>
              <c:pt idx="4">
                <c:v>Capital Appreciation Better Returns Safe Investment Risk Free</c:v>
              </c:pt>
              <c:pt idx="5">
                <c:v>Capital Appreciation Fund Diversification Assured Returns Fixed Returns</c:v>
              </c:pt>
              <c:pt idx="6">
                <c:v>Capital Appreciation Fund Diversification Assured Returns Risk Free</c:v>
              </c:pt>
              <c:pt idx="7">
                <c:v>Capital Appreciation Fund Diversification Safe Investment Fixed Returns</c:v>
              </c:pt>
              <c:pt idx="8">
                <c:v>Capital Appreciation Tax Benefits Assured Returns Fixed Returns</c:v>
              </c:pt>
              <c:pt idx="9">
                <c:v>Capital Appreciation Tax Benefits Safe Investment Fixed Returns</c:v>
              </c:pt>
              <c:pt idx="10">
                <c:v>Dividend Better Returns Assured Returns Risk Free</c:v>
              </c:pt>
              <c:pt idx="11">
                <c:v>Dividend Better Returns Safe Investment Fixed Returns</c:v>
              </c:pt>
              <c:pt idx="12">
                <c:v>Dividend Better Returns Safe Investment High Interest Rates</c:v>
              </c:pt>
              <c:pt idx="13">
                <c:v>Dividend Better Returns Safe Investment Risk Free</c:v>
              </c:pt>
              <c:pt idx="14">
                <c:v>Dividend Fund Diversification Assured Returns Fixed Returns</c:v>
              </c:pt>
              <c:pt idx="15">
                <c:v>Dividend Fund Diversification Tax Incentives High Interest Rates</c:v>
              </c:pt>
              <c:pt idx="16">
                <c:v>Liquidity Better Returns Assured Returns Risk Free</c:v>
              </c:pt>
              <c:pt idx="17">
                <c:v>Liquidity Fund Diversification Safe Investment Risk Free</c:v>
              </c:pt>
            </c:strLit>
          </c:cat>
          <c:val>
            <c:numLit>
              <c:formatCode>General</c:formatCode>
              <c:ptCount val="18"/>
              <c:pt idx="0">
                <c:v>4</c:v>
              </c:pt>
              <c:pt idx="1">
                <c:v>1</c:v>
              </c:pt>
              <c:pt idx="2">
                <c:v>9</c:v>
              </c:pt>
              <c:pt idx="3">
                <c:v>3</c:v>
              </c:pt>
              <c:pt idx="4">
                <c:v>1</c:v>
              </c:pt>
              <c:pt idx="5">
                <c:v>3</c:v>
              </c:pt>
              <c:pt idx="6">
                <c:v>4</c:v>
              </c:pt>
              <c:pt idx="7">
                <c:v>2</c:v>
              </c:pt>
              <c:pt idx="8">
                <c:v>1</c:v>
              </c:pt>
              <c:pt idx="9">
                <c:v>2</c:v>
              </c:pt>
              <c:pt idx="10">
                <c:v>1</c:v>
              </c:pt>
              <c:pt idx="11">
                <c:v>1</c:v>
              </c:pt>
              <c:pt idx="12">
                <c:v>1</c:v>
              </c:pt>
              <c:pt idx="13">
                <c:v>2</c:v>
              </c:pt>
              <c:pt idx="14">
                <c:v>2</c:v>
              </c:pt>
              <c:pt idx="15">
                <c:v>1</c:v>
              </c:pt>
              <c:pt idx="16">
                <c:v>1</c:v>
              </c:pt>
              <c:pt idx="17">
                <c:v>1</c:v>
              </c:pt>
            </c:numLit>
          </c:val>
          <c:extLst>
            <c:ext xmlns:c16="http://schemas.microsoft.com/office/drawing/2014/chart" uri="{C3380CC4-5D6E-409C-BE32-E72D297353CC}">
              <c16:uniqueId val="{00000001-36BE-448E-A216-E22730E07706}"/>
            </c:ext>
          </c:extLst>
        </c:ser>
        <c:ser>
          <c:idx val="2"/>
          <c:order val="2"/>
          <c:tx>
            <c:v>Count of Reason_Bonds</c:v>
          </c:tx>
          <c:spPr>
            <a:solidFill>
              <a:schemeClr val="accent3"/>
            </a:solidFill>
            <a:ln>
              <a:noFill/>
            </a:ln>
            <a:effectLst/>
          </c:spPr>
          <c:invertIfNegative val="0"/>
          <c:cat>
            <c:strLit>
              <c:ptCount val="18"/>
              <c:pt idx="0">
                <c:v>Capital Appreciation Better Returns Assured Returns Fixed Returns</c:v>
              </c:pt>
              <c:pt idx="1">
                <c:v>Capital Appreciation Better Returns Assured Returns High Interest Rates</c:v>
              </c:pt>
              <c:pt idx="2">
                <c:v>Capital Appreciation Better Returns Assured Returns Risk Free</c:v>
              </c:pt>
              <c:pt idx="3">
                <c:v>Capital Appreciation Better Returns Safe Investment Fixed Returns</c:v>
              </c:pt>
              <c:pt idx="4">
                <c:v>Capital Appreciation Better Returns Safe Investment Risk Free</c:v>
              </c:pt>
              <c:pt idx="5">
                <c:v>Capital Appreciation Fund Diversification Assured Returns Fixed Returns</c:v>
              </c:pt>
              <c:pt idx="6">
                <c:v>Capital Appreciation Fund Diversification Assured Returns Risk Free</c:v>
              </c:pt>
              <c:pt idx="7">
                <c:v>Capital Appreciation Fund Diversification Safe Investment Fixed Returns</c:v>
              </c:pt>
              <c:pt idx="8">
                <c:v>Capital Appreciation Tax Benefits Assured Returns Fixed Returns</c:v>
              </c:pt>
              <c:pt idx="9">
                <c:v>Capital Appreciation Tax Benefits Safe Investment Fixed Returns</c:v>
              </c:pt>
              <c:pt idx="10">
                <c:v>Dividend Better Returns Assured Returns Risk Free</c:v>
              </c:pt>
              <c:pt idx="11">
                <c:v>Dividend Better Returns Safe Investment Fixed Returns</c:v>
              </c:pt>
              <c:pt idx="12">
                <c:v>Dividend Better Returns Safe Investment High Interest Rates</c:v>
              </c:pt>
              <c:pt idx="13">
                <c:v>Dividend Better Returns Safe Investment Risk Free</c:v>
              </c:pt>
              <c:pt idx="14">
                <c:v>Dividend Fund Diversification Assured Returns Fixed Returns</c:v>
              </c:pt>
              <c:pt idx="15">
                <c:v>Dividend Fund Diversification Tax Incentives High Interest Rates</c:v>
              </c:pt>
              <c:pt idx="16">
                <c:v>Liquidity Better Returns Assured Returns Risk Free</c:v>
              </c:pt>
              <c:pt idx="17">
                <c:v>Liquidity Fund Diversification Safe Investment Risk Free</c:v>
              </c:pt>
            </c:strLit>
          </c:cat>
          <c:val>
            <c:numLit>
              <c:formatCode>General</c:formatCode>
              <c:ptCount val="18"/>
              <c:pt idx="0">
                <c:v>4</c:v>
              </c:pt>
              <c:pt idx="1">
                <c:v>1</c:v>
              </c:pt>
              <c:pt idx="2">
                <c:v>9</c:v>
              </c:pt>
              <c:pt idx="3">
                <c:v>3</c:v>
              </c:pt>
              <c:pt idx="4">
                <c:v>1</c:v>
              </c:pt>
              <c:pt idx="5">
                <c:v>3</c:v>
              </c:pt>
              <c:pt idx="6">
                <c:v>4</c:v>
              </c:pt>
              <c:pt idx="7">
                <c:v>2</c:v>
              </c:pt>
              <c:pt idx="8">
                <c:v>1</c:v>
              </c:pt>
              <c:pt idx="9">
                <c:v>2</c:v>
              </c:pt>
              <c:pt idx="10">
                <c:v>1</c:v>
              </c:pt>
              <c:pt idx="11">
                <c:v>1</c:v>
              </c:pt>
              <c:pt idx="12">
                <c:v>1</c:v>
              </c:pt>
              <c:pt idx="13">
                <c:v>2</c:v>
              </c:pt>
              <c:pt idx="14">
                <c:v>2</c:v>
              </c:pt>
              <c:pt idx="15">
                <c:v>1</c:v>
              </c:pt>
              <c:pt idx="16">
                <c:v>1</c:v>
              </c:pt>
              <c:pt idx="17">
                <c:v>1</c:v>
              </c:pt>
            </c:numLit>
          </c:val>
          <c:extLst>
            <c:ext xmlns:c16="http://schemas.microsoft.com/office/drawing/2014/chart" uri="{C3380CC4-5D6E-409C-BE32-E72D297353CC}">
              <c16:uniqueId val="{00000002-36BE-448E-A216-E22730E07706}"/>
            </c:ext>
          </c:extLst>
        </c:ser>
        <c:ser>
          <c:idx val="3"/>
          <c:order val="3"/>
          <c:tx>
            <c:v>Count of Reason_FD</c:v>
          </c:tx>
          <c:spPr>
            <a:solidFill>
              <a:schemeClr val="accent4"/>
            </a:solidFill>
            <a:ln>
              <a:noFill/>
            </a:ln>
            <a:effectLst/>
          </c:spPr>
          <c:invertIfNegative val="0"/>
          <c:cat>
            <c:strLit>
              <c:ptCount val="18"/>
              <c:pt idx="0">
                <c:v>Capital Appreciation Better Returns Assured Returns Fixed Returns</c:v>
              </c:pt>
              <c:pt idx="1">
                <c:v>Capital Appreciation Better Returns Assured Returns High Interest Rates</c:v>
              </c:pt>
              <c:pt idx="2">
                <c:v>Capital Appreciation Better Returns Assured Returns Risk Free</c:v>
              </c:pt>
              <c:pt idx="3">
                <c:v>Capital Appreciation Better Returns Safe Investment Fixed Returns</c:v>
              </c:pt>
              <c:pt idx="4">
                <c:v>Capital Appreciation Better Returns Safe Investment Risk Free</c:v>
              </c:pt>
              <c:pt idx="5">
                <c:v>Capital Appreciation Fund Diversification Assured Returns Fixed Returns</c:v>
              </c:pt>
              <c:pt idx="6">
                <c:v>Capital Appreciation Fund Diversification Assured Returns Risk Free</c:v>
              </c:pt>
              <c:pt idx="7">
                <c:v>Capital Appreciation Fund Diversification Safe Investment Fixed Returns</c:v>
              </c:pt>
              <c:pt idx="8">
                <c:v>Capital Appreciation Tax Benefits Assured Returns Fixed Returns</c:v>
              </c:pt>
              <c:pt idx="9">
                <c:v>Capital Appreciation Tax Benefits Safe Investment Fixed Returns</c:v>
              </c:pt>
              <c:pt idx="10">
                <c:v>Dividend Better Returns Assured Returns Risk Free</c:v>
              </c:pt>
              <c:pt idx="11">
                <c:v>Dividend Better Returns Safe Investment Fixed Returns</c:v>
              </c:pt>
              <c:pt idx="12">
                <c:v>Dividend Better Returns Safe Investment High Interest Rates</c:v>
              </c:pt>
              <c:pt idx="13">
                <c:v>Dividend Better Returns Safe Investment Risk Free</c:v>
              </c:pt>
              <c:pt idx="14">
                <c:v>Dividend Fund Diversification Assured Returns Fixed Returns</c:v>
              </c:pt>
              <c:pt idx="15">
                <c:v>Dividend Fund Diversification Tax Incentives High Interest Rates</c:v>
              </c:pt>
              <c:pt idx="16">
                <c:v>Liquidity Better Returns Assured Returns Risk Free</c:v>
              </c:pt>
              <c:pt idx="17">
                <c:v>Liquidity Fund Diversification Safe Investment Risk Free</c:v>
              </c:pt>
            </c:strLit>
          </c:cat>
          <c:val>
            <c:numLit>
              <c:formatCode>General</c:formatCode>
              <c:ptCount val="18"/>
              <c:pt idx="0">
                <c:v>4</c:v>
              </c:pt>
              <c:pt idx="1">
                <c:v>1</c:v>
              </c:pt>
              <c:pt idx="2">
                <c:v>9</c:v>
              </c:pt>
              <c:pt idx="3">
                <c:v>3</c:v>
              </c:pt>
              <c:pt idx="4">
                <c:v>1</c:v>
              </c:pt>
              <c:pt idx="5">
                <c:v>3</c:v>
              </c:pt>
              <c:pt idx="6">
                <c:v>4</c:v>
              </c:pt>
              <c:pt idx="7">
                <c:v>2</c:v>
              </c:pt>
              <c:pt idx="8">
                <c:v>1</c:v>
              </c:pt>
              <c:pt idx="9">
                <c:v>2</c:v>
              </c:pt>
              <c:pt idx="10">
                <c:v>1</c:v>
              </c:pt>
              <c:pt idx="11">
                <c:v>1</c:v>
              </c:pt>
              <c:pt idx="12">
                <c:v>1</c:v>
              </c:pt>
              <c:pt idx="13">
                <c:v>2</c:v>
              </c:pt>
              <c:pt idx="14">
                <c:v>2</c:v>
              </c:pt>
              <c:pt idx="15">
                <c:v>1</c:v>
              </c:pt>
              <c:pt idx="16">
                <c:v>1</c:v>
              </c:pt>
              <c:pt idx="17">
                <c:v>1</c:v>
              </c:pt>
            </c:numLit>
          </c:val>
          <c:extLst>
            <c:ext xmlns:c16="http://schemas.microsoft.com/office/drawing/2014/chart" uri="{C3380CC4-5D6E-409C-BE32-E72D297353CC}">
              <c16:uniqueId val="{00000003-36BE-448E-A216-E22730E07706}"/>
            </c:ext>
          </c:extLst>
        </c:ser>
        <c:dLbls>
          <c:showLegendKey val="0"/>
          <c:showVal val="0"/>
          <c:showCatName val="0"/>
          <c:showSerName val="0"/>
          <c:showPercent val="0"/>
          <c:showBubbleSize val="0"/>
        </c:dLbls>
        <c:gapWidth val="150"/>
        <c:overlap val="100"/>
        <c:axId val="1098416640"/>
        <c:axId val="1098411840"/>
      </c:barChart>
      <c:catAx>
        <c:axId val="1098416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411840"/>
        <c:crosses val="autoZero"/>
        <c:auto val="1"/>
        <c:lblAlgn val="ctr"/>
        <c:lblOffset val="100"/>
        <c:noMultiLvlLbl val="0"/>
      </c:catAx>
      <c:valAx>
        <c:axId val="1098411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416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solidFill>
                  <a:schemeClr val="accent3">
                    <a:lumMod val="50000"/>
                  </a:schemeClr>
                </a:solidFill>
              </a:rPr>
              <a:t>DISTRIBUTION</a:t>
            </a:r>
            <a:r>
              <a:rPr lang="en-US" baseline="0">
                <a:solidFill>
                  <a:schemeClr val="accent3">
                    <a:lumMod val="50000"/>
                  </a:schemeClr>
                </a:solidFill>
              </a:rPr>
              <a:t> OF SAVING OBJECTIVES</a:t>
            </a:r>
            <a:endParaRPr lang="en-US">
              <a:solidFill>
                <a:schemeClr val="accent3">
                  <a:lumMod val="5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v>Total</c:v>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2A4-4B6C-905D-B5CA5F244171}"/>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2A4-4B6C-905D-B5CA5F244171}"/>
              </c:ext>
            </c:extLst>
          </c:dPt>
          <c:dPt>
            <c:idx val="2"/>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2A4-4B6C-905D-B5CA5F24417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Education</c:v>
              </c:pt>
              <c:pt idx="1">
                <c:v>Health Care</c:v>
              </c:pt>
              <c:pt idx="2">
                <c:v>Retirement Plan</c:v>
              </c:pt>
            </c:strLit>
          </c:cat>
          <c:val>
            <c:numLit>
              <c:formatCode>General</c:formatCode>
              <c:ptCount val="3"/>
              <c:pt idx="0">
                <c:v>3</c:v>
              </c:pt>
              <c:pt idx="1">
                <c:v>13</c:v>
              </c:pt>
              <c:pt idx="2">
                <c:v>24</c:v>
              </c:pt>
            </c:numLit>
          </c:val>
          <c:extLst>
            <c:ext xmlns:c16="http://schemas.microsoft.com/office/drawing/2014/chart" uri="{C3380CC4-5D6E-409C-BE32-E72D297353CC}">
              <c16:uniqueId val="{00000006-72A4-4B6C-905D-B5CA5F24417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accent2">
                    <a:lumMod val="75000"/>
                  </a:schemeClr>
                </a:solidFill>
              </a:rPr>
              <a:t>INVESTMENT</a:t>
            </a:r>
            <a:r>
              <a:rPr lang="en-US" baseline="0">
                <a:solidFill>
                  <a:schemeClr val="accent2">
                    <a:lumMod val="75000"/>
                  </a:schemeClr>
                </a:solidFill>
              </a:rPr>
              <a:t> SOURCES FOR INVESTMENT</a:t>
            </a:r>
            <a:endParaRPr lang="en-US">
              <a:solidFill>
                <a:schemeClr val="accent2">
                  <a:lumMod val="75000"/>
                </a:schemeClr>
              </a:solidFill>
            </a:endParaRPr>
          </a:p>
        </c:rich>
      </c:tx>
      <c:layout>
        <c:manualLayout>
          <c:xMode val="edge"/>
          <c:yMode val="edge"/>
          <c:x val="0.20376344086021506"/>
          <c:y val="5.003459534878401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v>Total</c:v>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4"/>
              <c:pt idx="0">
                <c:v>Financial Consultants</c:v>
              </c:pt>
              <c:pt idx="1">
                <c:v>Internet</c:v>
              </c:pt>
              <c:pt idx="2">
                <c:v>Newspapers and Magazines</c:v>
              </c:pt>
              <c:pt idx="3">
                <c:v>Television</c:v>
              </c:pt>
            </c:strLit>
          </c:cat>
          <c:val>
            <c:numLit>
              <c:formatCode>General</c:formatCode>
              <c:ptCount val="4"/>
              <c:pt idx="0">
                <c:v>16</c:v>
              </c:pt>
              <c:pt idx="1">
                <c:v>4</c:v>
              </c:pt>
              <c:pt idx="2">
                <c:v>14</c:v>
              </c:pt>
              <c:pt idx="3">
                <c:v>6</c:v>
              </c:pt>
            </c:numLit>
          </c:val>
          <c:extLst>
            <c:ext xmlns:c16="http://schemas.microsoft.com/office/drawing/2014/chart" uri="{C3380CC4-5D6E-409C-BE32-E72D297353CC}">
              <c16:uniqueId val="{00000000-5719-4C78-9BFA-17D872123EFE}"/>
            </c:ext>
          </c:extLst>
        </c:ser>
        <c:dLbls>
          <c:showLegendKey val="0"/>
          <c:showVal val="1"/>
          <c:showCatName val="0"/>
          <c:showSerName val="0"/>
          <c:showPercent val="0"/>
          <c:showBubbleSize val="0"/>
        </c:dLbls>
        <c:gapWidth val="65"/>
        <c:shape val="box"/>
        <c:axId val="1147742687"/>
        <c:axId val="1147743167"/>
        <c:axId val="0"/>
      </c:bar3DChart>
      <c:catAx>
        <c:axId val="114774268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47743167"/>
        <c:crosses val="autoZero"/>
        <c:auto val="1"/>
        <c:lblAlgn val="ctr"/>
        <c:lblOffset val="100"/>
        <c:noMultiLvlLbl val="0"/>
      </c:catAx>
      <c:valAx>
        <c:axId val="1147743167"/>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4774268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solidFill>
                  <a:schemeClr val="bg1"/>
                </a:solidFill>
              </a:rPr>
              <a:t>PARTICIPANTS INVESTMENT ANALYSIS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v>Total</c:v>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Lit>
              <c:ptCount val="3"/>
              <c:pt idx="0">
                <c:v>10%-20%</c:v>
              </c:pt>
              <c:pt idx="1">
                <c:v>20%-30%</c:v>
              </c:pt>
              <c:pt idx="2">
                <c:v>30%-40%</c:v>
              </c:pt>
            </c:strLit>
          </c:cat>
          <c:val>
            <c:numLit>
              <c:formatCode>General</c:formatCode>
              <c:ptCount val="3"/>
              <c:pt idx="0">
                <c:v>3</c:v>
              </c:pt>
              <c:pt idx="1">
                <c:v>32</c:v>
              </c:pt>
              <c:pt idx="2">
                <c:v>5</c:v>
              </c:pt>
            </c:numLit>
          </c:val>
          <c:extLst>
            <c:ext xmlns:c16="http://schemas.microsoft.com/office/drawing/2014/chart" uri="{C3380CC4-5D6E-409C-BE32-E72D297353CC}">
              <c16:uniqueId val="{00000000-CD10-4F78-91D2-553B0063308A}"/>
            </c:ext>
          </c:extLst>
        </c:ser>
        <c:dLbls>
          <c:showLegendKey val="0"/>
          <c:showVal val="0"/>
          <c:showCatName val="0"/>
          <c:showSerName val="0"/>
          <c:showPercent val="0"/>
          <c:showBubbleSize val="0"/>
        </c:dLbls>
        <c:axId val="833616496"/>
        <c:axId val="833627056"/>
      </c:radarChart>
      <c:catAx>
        <c:axId val="8336164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3627056"/>
        <c:crosses val="autoZero"/>
        <c:auto val="1"/>
        <c:lblAlgn val="ctr"/>
        <c:lblOffset val="100"/>
        <c:noMultiLvlLbl val="0"/>
      </c:catAx>
      <c:valAx>
        <c:axId val="8336270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33616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AGE VS DURATION_NUMBER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'[1]Data_set 2'!$B$1</c:f>
              <c:strCache>
                <c:ptCount val="1"/>
                <c:pt idx="0">
                  <c:v> Duration_number </c:v>
                </c:pt>
              </c:strCache>
            </c:strRef>
          </c:tx>
          <c:spPr>
            <a:ln w="95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numRef>
              <c:f>'Data_set 2'!#REF!</c:f>
            </c:numRef>
          </c:xVal>
          <c:yVal>
            <c:numRef>
              <c:f>'[1]Data_set 2'!$B$2:$B$41</c:f>
              <c:numCache>
                <c:formatCode>General</c:formatCode>
                <c:ptCount val="40"/>
                <c:pt idx="0">
                  <c:v>2</c:v>
                </c:pt>
                <c:pt idx="1">
                  <c:v>6</c:v>
                </c:pt>
                <c:pt idx="2">
                  <c:v>4</c:v>
                </c:pt>
                <c:pt idx="3">
                  <c:v>0.5</c:v>
                </c:pt>
                <c:pt idx="4">
                  <c:v>0.5</c:v>
                </c:pt>
                <c:pt idx="5">
                  <c:v>2</c:v>
                </c:pt>
                <c:pt idx="6">
                  <c:v>4</c:v>
                </c:pt>
                <c:pt idx="7">
                  <c:v>4</c:v>
                </c:pt>
                <c:pt idx="8">
                  <c:v>2</c:v>
                </c:pt>
                <c:pt idx="9">
                  <c:v>4</c:v>
                </c:pt>
                <c:pt idx="10">
                  <c:v>4</c:v>
                </c:pt>
                <c:pt idx="11">
                  <c:v>2</c:v>
                </c:pt>
                <c:pt idx="12">
                  <c:v>2</c:v>
                </c:pt>
                <c:pt idx="13">
                  <c:v>2</c:v>
                </c:pt>
                <c:pt idx="14">
                  <c:v>2</c:v>
                </c:pt>
                <c:pt idx="15">
                  <c:v>2</c:v>
                </c:pt>
                <c:pt idx="16">
                  <c:v>2</c:v>
                </c:pt>
                <c:pt idx="17">
                  <c:v>2</c:v>
                </c:pt>
                <c:pt idx="18">
                  <c:v>2</c:v>
                </c:pt>
                <c:pt idx="19">
                  <c:v>4</c:v>
                </c:pt>
                <c:pt idx="20">
                  <c:v>4</c:v>
                </c:pt>
                <c:pt idx="21">
                  <c:v>4</c:v>
                </c:pt>
                <c:pt idx="22">
                  <c:v>4</c:v>
                </c:pt>
                <c:pt idx="23">
                  <c:v>4</c:v>
                </c:pt>
                <c:pt idx="24">
                  <c:v>4</c:v>
                </c:pt>
                <c:pt idx="25">
                  <c:v>4</c:v>
                </c:pt>
                <c:pt idx="26">
                  <c:v>4</c:v>
                </c:pt>
                <c:pt idx="27">
                  <c:v>2</c:v>
                </c:pt>
                <c:pt idx="28">
                  <c:v>2</c:v>
                </c:pt>
                <c:pt idx="29">
                  <c:v>4</c:v>
                </c:pt>
                <c:pt idx="30">
                  <c:v>2</c:v>
                </c:pt>
                <c:pt idx="31">
                  <c:v>4</c:v>
                </c:pt>
                <c:pt idx="32">
                  <c:v>4</c:v>
                </c:pt>
                <c:pt idx="33">
                  <c:v>2</c:v>
                </c:pt>
                <c:pt idx="34">
                  <c:v>2</c:v>
                </c:pt>
                <c:pt idx="35">
                  <c:v>4</c:v>
                </c:pt>
                <c:pt idx="36">
                  <c:v>2</c:v>
                </c:pt>
                <c:pt idx="37">
                  <c:v>4</c:v>
                </c:pt>
                <c:pt idx="38">
                  <c:v>2</c:v>
                </c:pt>
                <c:pt idx="39">
                  <c:v>4</c:v>
                </c:pt>
              </c:numCache>
            </c:numRef>
          </c:yVal>
          <c:smooth val="0"/>
          <c:extLst>
            <c:ext xmlns:c16="http://schemas.microsoft.com/office/drawing/2014/chart" uri="{C3380CC4-5D6E-409C-BE32-E72D297353CC}">
              <c16:uniqueId val="{00000000-68CC-44E6-A5A9-21DA22665C03}"/>
            </c:ext>
          </c:extLst>
        </c:ser>
        <c:dLbls>
          <c:showLegendKey val="0"/>
          <c:showVal val="0"/>
          <c:showCatName val="0"/>
          <c:showSerName val="0"/>
          <c:showPercent val="0"/>
          <c:showBubbleSize val="0"/>
        </c:dLbls>
        <c:axId val="1270307360"/>
        <c:axId val="1270307840"/>
      </c:scatterChart>
      <c:valAx>
        <c:axId val="1270307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307840"/>
        <c:crosses val="autoZero"/>
        <c:crossBetween val="midCat"/>
      </c:valAx>
      <c:valAx>
        <c:axId val="1270307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30736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AGE VS EXCEPT_NUMBER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'[1]Data_set 2'!$C$1</c:f>
              <c:strCache>
                <c:ptCount val="1"/>
                <c:pt idx="0">
                  <c:v>except _number</c:v>
                </c:pt>
              </c:strCache>
            </c:strRef>
          </c:tx>
          <c:spPr>
            <a:ln w="95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numRef>
              <c:f>'Data_set 2'!#REF!</c:f>
            </c:numRef>
          </c:xVal>
          <c:yVal>
            <c:numRef>
              <c:f>'[1]Data_set 2'!$C$2:$C$41</c:f>
              <c:numCache>
                <c:formatCode>General</c:formatCode>
                <c:ptCount val="40"/>
                <c:pt idx="0">
                  <c:v>25</c:v>
                </c:pt>
                <c:pt idx="1">
                  <c:v>25</c:v>
                </c:pt>
                <c:pt idx="2">
                  <c:v>25</c:v>
                </c:pt>
                <c:pt idx="3">
                  <c:v>15</c:v>
                </c:pt>
                <c:pt idx="4">
                  <c:v>25</c:v>
                </c:pt>
                <c:pt idx="5">
                  <c:v>35</c:v>
                </c:pt>
                <c:pt idx="6">
                  <c:v>25</c:v>
                </c:pt>
                <c:pt idx="7">
                  <c:v>25</c:v>
                </c:pt>
                <c:pt idx="8">
                  <c:v>25</c:v>
                </c:pt>
                <c:pt idx="9">
                  <c:v>35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35</c:v>
                </c:pt>
                <c:pt idx="25">
                  <c:v>25</c:v>
                </c:pt>
                <c:pt idx="26">
                  <c:v>25</c:v>
                </c:pt>
                <c:pt idx="27">
                  <c:v>25</c:v>
                </c:pt>
                <c:pt idx="28">
                  <c:v>25</c:v>
                </c:pt>
                <c:pt idx="29">
                  <c:v>15</c:v>
                </c:pt>
                <c:pt idx="30">
                  <c:v>15</c:v>
                </c:pt>
                <c:pt idx="31">
                  <c:v>25</c:v>
                </c:pt>
                <c:pt idx="32">
                  <c:v>35</c:v>
                </c:pt>
                <c:pt idx="33">
                  <c:v>25</c:v>
                </c:pt>
                <c:pt idx="34">
                  <c:v>25</c:v>
                </c:pt>
                <c:pt idx="35">
                  <c:v>25</c:v>
                </c:pt>
                <c:pt idx="36">
                  <c:v>25</c:v>
                </c:pt>
                <c:pt idx="37">
                  <c:v>35</c:v>
                </c:pt>
                <c:pt idx="38">
                  <c:v>25</c:v>
                </c:pt>
                <c:pt idx="39">
                  <c:v>25</c:v>
                </c:pt>
              </c:numCache>
            </c:numRef>
          </c:yVal>
          <c:smooth val="0"/>
          <c:extLst>
            <c:ext xmlns:c16="http://schemas.microsoft.com/office/drawing/2014/chart" uri="{C3380CC4-5D6E-409C-BE32-E72D297353CC}">
              <c16:uniqueId val="{00000000-1DE7-4AB6-ACB2-ED153D815E8C}"/>
            </c:ext>
          </c:extLst>
        </c:ser>
        <c:dLbls>
          <c:showLegendKey val="0"/>
          <c:showVal val="0"/>
          <c:showCatName val="0"/>
          <c:showSerName val="0"/>
          <c:showPercent val="0"/>
          <c:showBubbleSize val="0"/>
        </c:dLbls>
        <c:axId val="1270300640"/>
        <c:axId val="1270325120"/>
      </c:scatterChart>
      <c:valAx>
        <c:axId val="1270300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325120"/>
        <c:crosses val="autoZero"/>
        <c:crossBetween val="midCat"/>
      </c:valAx>
      <c:valAx>
        <c:axId val="1270325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30064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DURATION_NUMBER VS EXCEPTION_NUMBER</a:t>
            </a:r>
          </a:p>
          <a:p>
            <a:pPr>
              <a:defRPr/>
            </a:pPr>
            <a:r>
              <a:rPr lang="en-US" b="1"/>
              <a:t>BUBBLE SIZE =AGE</a:t>
            </a:r>
          </a:p>
        </c:rich>
      </c:tx>
      <c:layout>
        <c:manualLayout>
          <c:xMode val="edge"/>
          <c:yMode val="edge"/>
          <c:x val="0.14070844269466318"/>
          <c:y val="3.287432970400231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0715223097112861E-2"/>
          <c:y val="0.18413078149920256"/>
          <c:w val="0.9223958880139983"/>
          <c:h val="0.7236911175576739"/>
        </c:manualLayout>
      </c:layout>
      <c:bubbleChart>
        <c:varyColors val="0"/>
        <c:ser>
          <c:idx val="0"/>
          <c:order val="0"/>
          <c:tx>
            <c:strRef>
              <c:f>'[1]Data_set 2'!$C$1</c:f>
              <c:strCache>
                <c:ptCount val="1"/>
                <c:pt idx="0">
                  <c:v>except _number</c:v>
                </c:pt>
              </c:strCache>
            </c:strRef>
          </c:tx>
          <c:spPr>
            <a:solidFill>
              <a:schemeClr val="accent1">
                <a:alpha val="75000"/>
              </a:schemeClr>
            </a:solidFill>
            <a:ln>
              <a:noFill/>
            </a:ln>
            <a:effectLst/>
          </c:spPr>
          <c:invertIfNegative val="0"/>
          <c:xVal>
            <c:numRef>
              <c:f>'[1]Data_set 2'!$B$2:$B$41</c:f>
              <c:numCache>
                <c:formatCode>General</c:formatCode>
                <c:ptCount val="40"/>
                <c:pt idx="0">
                  <c:v>2</c:v>
                </c:pt>
                <c:pt idx="1">
                  <c:v>6</c:v>
                </c:pt>
                <c:pt idx="2">
                  <c:v>4</c:v>
                </c:pt>
                <c:pt idx="3">
                  <c:v>0.5</c:v>
                </c:pt>
                <c:pt idx="4">
                  <c:v>0.5</c:v>
                </c:pt>
                <c:pt idx="5">
                  <c:v>2</c:v>
                </c:pt>
                <c:pt idx="6">
                  <c:v>4</c:v>
                </c:pt>
                <c:pt idx="7">
                  <c:v>4</c:v>
                </c:pt>
                <c:pt idx="8">
                  <c:v>2</c:v>
                </c:pt>
                <c:pt idx="9">
                  <c:v>4</c:v>
                </c:pt>
                <c:pt idx="10">
                  <c:v>4</c:v>
                </c:pt>
                <c:pt idx="11">
                  <c:v>2</c:v>
                </c:pt>
                <c:pt idx="12">
                  <c:v>2</c:v>
                </c:pt>
                <c:pt idx="13">
                  <c:v>2</c:v>
                </c:pt>
                <c:pt idx="14">
                  <c:v>2</c:v>
                </c:pt>
                <c:pt idx="15">
                  <c:v>2</c:v>
                </c:pt>
                <c:pt idx="16">
                  <c:v>2</c:v>
                </c:pt>
                <c:pt idx="17">
                  <c:v>2</c:v>
                </c:pt>
                <c:pt idx="18">
                  <c:v>2</c:v>
                </c:pt>
                <c:pt idx="19">
                  <c:v>4</c:v>
                </c:pt>
                <c:pt idx="20">
                  <c:v>4</c:v>
                </c:pt>
                <c:pt idx="21">
                  <c:v>4</c:v>
                </c:pt>
                <c:pt idx="22">
                  <c:v>4</c:v>
                </c:pt>
                <c:pt idx="23">
                  <c:v>4</c:v>
                </c:pt>
                <c:pt idx="24">
                  <c:v>4</c:v>
                </c:pt>
                <c:pt idx="25">
                  <c:v>4</c:v>
                </c:pt>
                <c:pt idx="26">
                  <c:v>4</c:v>
                </c:pt>
                <c:pt idx="27">
                  <c:v>2</c:v>
                </c:pt>
                <c:pt idx="28">
                  <c:v>2</c:v>
                </c:pt>
                <c:pt idx="29">
                  <c:v>4</c:v>
                </c:pt>
                <c:pt idx="30">
                  <c:v>2</c:v>
                </c:pt>
                <c:pt idx="31">
                  <c:v>4</c:v>
                </c:pt>
                <c:pt idx="32">
                  <c:v>4</c:v>
                </c:pt>
                <c:pt idx="33">
                  <c:v>2</c:v>
                </c:pt>
                <c:pt idx="34">
                  <c:v>2</c:v>
                </c:pt>
                <c:pt idx="35">
                  <c:v>4</c:v>
                </c:pt>
                <c:pt idx="36">
                  <c:v>2</c:v>
                </c:pt>
                <c:pt idx="37">
                  <c:v>4</c:v>
                </c:pt>
                <c:pt idx="38">
                  <c:v>2</c:v>
                </c:pt>
                <c:pt idx="39">
                  <c:v>4</c:v>
                </c:pt>
              </c:numCache>
            </c:numRef>
          </c:xVal>
          <c:yVal>
            <c:numRef>
              <c:f>'[1]Data_set 2'!$C$2:$C$41</c:f>
              <c:numCache>
                <c:formatCode>General</c:formatCode>
                <c:ptCount val="40"/>
                <c:pt idx="0">
                  <c:v>25</c:v>
                </c:pt>
                <c:pt idx="1">
                  <c:v>25</c:v>
                </c:pt>
                <c:pt idx="2">
                  <c:v>25</c:v>
                </c:pt>
                <c:pt idx="3">
                  <c:v>15</c:v>
                </c:pt>
                <c:pt idx="4">
                  <c:v>25</c:v>
                </c:pt>
                <c:pt idx="5">
                  <c:v>35</c:v>
                </c:pt>
                <c:pt idx="6">
                  <c:v>25</c:v>
                </c:pt>
                <c:pt idx="7">
                  <c:v>25</c:v>
                </c:pt>
                <c:pt idx="8">
                  <c:v>25</c:v>
                </c:pt>
                <c:pt idx="9">
                  <c:v>35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35</c:v>
                </c:pt>
                <c:pt idx="25">
                  <c:v>25</c:v>
                </c:pt>
                <c:pt idx="26">
                  <c:v>25</c:v>
                </c:pt>
                <c:pt idx="27">
                  <c:v>25</c:v>
                </c:pt>
                <c:pt idx="28">
                  <c:v>25</c:v>
                </c:pt>
                <c:pt idx="29">
                  <c:v>15</c:v>
                </c:pt>
                <c:pt idx="30">
                  <c:v>15</c:v>
                </c:pt>
                <c:pt idx="31">
                  <c:v>25</c:v>
                </c:pt>
                <c:pt idx="32">
                  <c:v>35</c:v>
                </c:pt>
                <c:pt idx="33">
                  <c:v>25</c:v>
                </c:pt>
                <c:pt idx="34">
                  <c:v>25</c:v>
                </c:pt>
                <c:pt idx="35">
                  <c:v>25</c:v>
                </c:pt>
                <c:pt idx="36">
                  <c:v>25</c:v>
                </c:pt>
                <c:pt idx="37">
                  <c:v>35</c:v>
                </c:pt>
                <c:pt idx="38">
                  <c:v>25</c:v>
                </c:pt>
                <c:pt idx="39">
                  <c:v>25</c:v>
                </c:pt>
              </c:numCache>
            </c:numRef>
          </c:yVal>
          <c:bubbleSize>
            <c:numRef>
              <c:f>'[1]Data_set 2'!$D$2:$D$41</c:f>
              <c:numCache>
                <c:formatCode>General</c:formatCode>
                <c:ptCount val="40"/>
                <c:pt idx="0">
                  <c:v>34</c:v>
                </c:pt>
                <c:pt idx="1">
                  <c:v>23</c:v>
                </c:pt>
                <c:pt idx="2">
                  <c:v>30</c:v>
                </c:pt>
                <c:pt idx="3">
                  <c:v>22</c:v>
                </c:pt>
                <c:pt idx="4">
                  <c:v>24</c:v>
                </c:pt>
                <c:pt idx="5">
                  <c:v>24</c:v>
                </c:pt>
                <c:pt idx="6">
                  <c:v>27</c:v>
                </c:pt>
                <c:pt idx="7">
                  <c:v>21</c:v>
                </c:pt>
                <c:pt idx="8">
                  <c:v>35</c:v>
                </c:pt>
                <c:pt idx="9">
                  <c:v>31</c:v>
                </c:pt>
                <c:pt idx="10">
                  <c:v>35</c:v>
                </c:pt>
                <c:pt idx="11">
                  <c:v>29</c:v>
                </c:pt>
                <c:pt idx="12">
                  <c:v>21</c:v>
                </c:pt>
                <c:pt idx="13">
                  <c:v>28</c:v>
                </c:pt>
                <c:pt idx="14">
                  <c:v>25</c:v>
                </c:pt>
                <c:pt idx="15">
                  <c:v>27</c:v>
                </c:pt>
                <c:pt idx="16">
                  <c:v>28</c:v>
                </c:pt>
                <c:pt idx="17">
                  <c:v>27</c:v>
                </c:pt>
                <c:pt idx="18">
                  <c:v>29</c:v>
                </c:pt>
                <c:pt idx="19">
                  <c:v>26</c:v>
                </c:pt>
                <c:pt idx="20">
                  <c:v>29</c:v>
                </c:pt>
                <c:pt idx="21">
                  <c:v>24</c:v>
                </c:pt>
                <c:pt idx="22">
                  <c:v>27</c:v>
                </c:pt>
                <c:pt idx="23">
                  <c:v>25</c:v>
                </c:pt>
                <c:pt idx="24">
                  <c:v>26</c:v>
                </c:pt>
                <c:pt idx="25">
                  <c:v>32</c:v>
                </c:pt>
                <c:pt idx="26">
                  <c:v>26</c:v>
                </c:pt>
                <c:pt idx="27">
                  <c:v>31</c:v>
                </c:pt>
                <c:pt idx="28">
                  <c:v>29</c:v>
                </c:pt>
                <c:pt idx="29">
                  <c:v>34</c:v>
                </c:pt>
                <c:pt idx="30">
                  <c:v>27</c:v>
                </c:pt>
                <c:pt idx="31">
                  <c:v>31</c:v>
                </c:pt>
                <c:pt idx="32">
                  <c:v>27</c:v>
                </c:pt>
                <c:pt idx="33">
                  <c:v>26</c:v>
                </c:pt>
                <c:pt idx="34">
                  <c:v>27</c:v>
                </c:pt>
                <c:pt idx="35">
                  <c:v>30</c:v>
                </c:pt>
                <c:pt idx="36">
                  <c:v>30</c:v>
                </c:pt>
                <c:pt idx="37">
                  <c:v>25</c:v>
                </c:pt>
                <c:pt idx="38">
                  <c:v>31</c:v>
                </c:pt>
                <c:pt idx="39">
                  <c:v>29</c:v>
                </c:pt>
              </c:numCache>
            </c:numRef>
          </c:bubbleSize>
          <c:bubble3D val="1"/>
          <c:extLst>
            <c:ext xmlns:c16="http://schemas.microsoft.com/office/drawing/2014/chart" uri="{C3380CC4-5D6E-409C-BE32-E72D297353CC}">
              <c16:uniqueId val="{00000000-0C8C-4338-A708-154C579993EF}"/>
            </c:ext>
          </c:extLst>
        </c:ser>
        <c:dLbls>
          <c:showLegendKey val="0"/>
          <c:showVal val="0"/>
          <c:showCatName val="0"/>
          <c:showSerName val="0"/>
          <c:showPercent val="0"/>
          <c:showBubbleSize val="0"/>
        </c:dLbls>
        <c:bubbleScale val="100"/>
        <c:showNegBubbles val="0"/>
        <c:axId val="397077376"/>
        <c:axId val="397068256"/>
      </c:bubbleChart>
      <c:valAx>
        <c:axId val="397077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068256"/>
        <c:crosses val="autoZero"/>
        <c:crossBetween val="midCat"/>
      </c:valAx>
      <c:valAx>
        <c:axId val="397068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07737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gender distribution of  participants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9508-4950-9AC3-82BDB8E4119F}"/>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508-4950-9AC3-82BDB8E4119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2"/>
              <c:pt idx="0">
                <c:v>Female</c:v>
              </c:pt>
              <c:pt idx="1">
                <c:v>Male</c:v>
              </c:pt>
            </c:strLit>
          </c:cat>
          <c:val>
            <c:numLit>
              <c:formatCode>General</c:formatCode>
              <c:ptCount val="2"/>
              <c:pt idx="0">
                <c:v>15</c:v>
              </c:pt>
              <c:pt idx="1">
                <c:v>25</c:v>
              </c:pt>
            </c:numLit>
          </c:val>
          <c:extLst>
            <c:ext xmlns:c16="http://schemas.microsoft.com/office/drawing/2014/chart" uri="{C3380CC4-5D6E-409C-BE32-E72D297353CC}">
              <c16:uniqueId val="{00000004-9508-4950-9AC3-82BDB8E4119F}"/>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INVESTMENT PREFERENCES OF PARTICIPANTS </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532670665184533E-2"/>
          <c:y val="0.13173118107554405"/>
          <c:w val="0.7997716696639402"/>
          <c:h val="0.8317859985274364"/>
        </c:manualLayout>
      </c:layout>
      <c:barChart>
        <c:barDir val="col"/>
        <c:grouping val="clustered"/>
        <c:varyColors val="0"/>
        <c:ser>
          <c:idx val="0"/>
          <c:order val="0"/>
          <c:tx>
            <c:v>Total</c:v>
          </c:tx>
          <c:spPr>
            <a:pattFill prst="ltUpDiag">
              <a:fgClr>
                <a:schemeClr val="accent1"/>
              </a:fgClr>
              <a:bgClr>
                <a:schemeClr val="lt1"/>
              </a:bgClr>
            </a:pattFill>
            <a:ln>
              <a:noFill/>
            </a:ln>
            <a:effectLst/>
          </c:spPr>
          <c:invertIfNegative val="0"/>
          <c:cat>
            <c:strLit>
              <c:ptCount val="2"/>
              <c:pt idx="0">
                <c:v>No</c:v>
              </c:pt>
              <c:pt idx="1">
                <c:v>Yes</c:v>
              </c:pt>
            </c:strLit>
          </c:cat>
          <c:val>
            <c:numLit>
              <c:formatCode>General</c:formatCode>
              <c:ptCount val="2"/>
              <c:pt idx="0">
                <c:v>3</c:v>
              </c:pt>
              <c:pt idx="1">
                <c:v>37</c:v>
              </c:pt>
            </c:numLit>
          </c:val>
          <c:extLst>
            <c:ext xmlns:c16="http://schemas.microsoft.com/office/drawing/2014/chart" uri="{C3380CC4-5D6E-409C-BE32-E72D297353CC}">
              <c16:uniqueId val="{00000000-E813-4F3A-8C80-D627159EA379}"/>
            </c:ext>
          </c:extLst>
        </c:ser>
        <c:dLbls>
          <c:showLegendKey val="0"/>
          <c:showVal val="0"/>
          <c:showCatName val="0"/>
          <c:showSerName val="0"/>
          <c:showPercent val="0"/>
          <c:showBubbleSize val="0"/>
        </c:dLbls>
        <c:gapWidth val="269"/>
        <c:overlap val="-20"/>
        <c:axId val="780589968"/>
        <c:axId val="780590448"/>
      </c:barChart>
      <c:catAx>
        <c:axId val="780589968"/>
        <c:scaling>
          <c:orientation val="minMax"/>
        </c:scaling>
        <c:delete val="0"/>
        <c:axPos val="b"/>
        <c:majorGridlines>
          <c:spPr>
            <a:ln w="9525" cap="flat" cmpd="sng" algn="ctr">
              <a:solidFill>
                <a:schemeClr val="lt1">
                  <a:alpha val="2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investment type </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780590448"/>
        <c:crosses val="autoZero"/>
        <c:auto val="1"/>
        <c:lblAlgn val="ctr"/>
        <c:lblOffset val="100"/>
        <c:noMultiLvlLbl val="0"/>
      </c:catAx>
      <c:valAx>
        <c:axId val="780590448"/>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number of paticipants </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80589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REASONS</a:t>
            </a:r>
            <a:r>
              <a:rPr lang="en-IN" baseline="0"/>
              <a:t>  FOR CHOOSING INVESTMENT AVENUES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Count of Reason_Equity</c:v>
          </c:tx>
          <c:spPr>
            <a:solidFill>
              <a:schemeClr val="accent1"/>
            </a:solidFill>
            <a:ln>
              <a:noFill/>
            </a:ln>
            <a:effectLst/>
          </c:spPr>
          <c:invertIfNegative val="0"/>
          <c:cat>
            <c:strLit>
              <c:ptCount val="18"/>
              <c:pt idx="0">
                <c:v>Capital Appreciation Better Returns Assured Returns Fixed Returns</c:v>
              </c:pt>
              <c:pt idx="1">
                <c:v>Capital Appreciation Better Returns Assured Returns High Interest Rates</c:v>
              </c:pt>
              <c:pt idx="2">
                <c:v>Capital Appreciation Better Returns Assured Returns Risk Free</c:v>
              </c:pt>
              <c:pt idx="3">
                <c:v>Capital Appreciation Better Returns Safe Investment Fixed Returns</c:v>
              </c:pt>
              <c:pt idx="4">
                <c:v>Capital Appreciation Better Returns Safe Investment Risk Free</c:v>
              </c:pt>
              <c:pt idx="5">
                <c:v>Capital Appreciation Fund Diversification Assured Returns Fixed Returns</c:v>
              </c:pt>
              <c:pt idx="6">
                <c:v>Capital Appreciation Fund Diversification Assured Returns Risk Free</c:v>
              </c:pt>
              <c:pt idx="7">
                <c:v>Capital Appreciation Fund Diversification Safe Investment Fixed Returns</c:v>
              </c:pt>
              <c:pt idx="8">
                <c:v>Capital Appreciation Tax Benefits Assured Returns Fixed Returns</c:v>
              </c:pt>
              <c:pt idx="9">
                <c:v>Capital Appreciation Tax Benefits Safe Investment Fixed Returns</c:v>
              </c:pt>
              <c:pt idx="10">
                <c:v>Dividend Better Returns Assured Returns Risk Free</c:v>
              </c:pt>
              <c:pt idx="11">
                <c:v>Dividend Better Returns Safe Investment Fixed Returns</c:v>
              </c:pt>
              <c:pt idx="12">
                <c:v>Dividend Better Returns Safe Investment High Interest Rates</c:v>
              </c:pt>
              <c:pt idx="13">
                <c:v>Dividend Better Returns Safe Investment Risk Free</c:v>
              </c:pt>
              <c:pt idx="14">
                <c:v>Dividend Fund Diversification Assured Returns Fixed Returns</c:v>
              </c:pt>
              <c:pt idx="15">
                <c:v>Dividend Fund Diversification Tax Incentives High Interest Rates</c:v>
              </c:pt>
              <c:pt idx="16">
                <c:v>Liquidity Better Returns Assured Returns Risk Free</c:v>
              </c:pt>
              <c:pt idx="17">
                <c:v>Liquidity Fund Diversification Safe Investment Risk Free</c:v>
              </c:pt>
            </c:strLit>
          </c:cat>
          <c:val>
            <c:numLit>
              <c:formatCode>General</c:formatCode>
              <c:ptCount val="18"/>
              <c:pt idx="0">
                <c:v>4</c:v>
              </c:pt>
              <c:pt idx="1">
                <c:v>1</c:v>
              </c:pt>
              <c:pt idx="2">
                <c:v>9</c:v>
              </c:pt>
              <c:pt idx="3">
                <c:v>3</c:v>
              </c:pt>
              <c:pt idx="4">
                <c:v>1</c:v>
              </c:pt>
              <c:pt idx="5">
                <c:v>3</c:v>
              </c:pt>
              <c:pt idx="6">
                <c:v>4</c:v>
              </c:pt>
              <c:pt idx="7">
                <c:v>2</c:v>
              </c:pt>
              <c:pt idx="8">
                <c:v>1</c:v>
              </c:pt>
              <c:pt idx="9">
                <c:v>2</c:v>
              </c:pt>
              <c:pt idx="10">
                <c:v>1</c:v>
              </c:pt>
              <c:pt idx="11">
                <c:v>1</c:v>
              </c:pt>
              <c:pt idx="12">
                <c:v>1</c:v>
              </c:pt>
              <c:pt idx="13">
                <c:v>2</c:v>
              </c:pt>
              <c:pt idx="14">
                <c:v>2</c:v>
              </c:pt>
              <c:pt idx="15">
                <c:v>1</c:v>
              </c:pt>
              <c:pt idx="16">
                <c:v>1</c:v>
              </c:pt>
              <c:pt idx="17">
                <c:v>1</c:v>
              </c:pt>
            </c:numLit>
          </c:val>
          <c:extLst>
            <c:ext xmlns:c16="http://schemas.microsoft.com/office/drawing/2014/chart" uri="{C3380CC4-5D6E-409C-BE32-E72D297353CC}">
              <c16:uniqueId val="{00000000-22B8-4F03-A817-7D47E8857E1E}"/>
            </c:ext>
          </c:extLst>
        </c:ser>
        <c:ser>
          <c:idx val="1"/>
          <c:order val="1"/>
          <c:tx>
            <c:v>Count of Reason_Mutual</c:v>
          </c:tx>
          <c:spPr>
            <a:solidFill>
              <a:schemeClr val="accent2"/>
            </a:solidFill>
            <a:ln>
              <a:noFill/>
            </a:ln>
            <a:effectLst/>
          </c:spPr>
          <c:invertIfNegative val="0"/>
          <c:cat>
            <c:strLit>
              <c:ptCount val="18"/>
              <c:pt idx="0">
                <c:v>Capital Appreciation Better Returns Assured Returns Fixed Returns</c:v>
              </c:pt>
              <c:pt idx="1">
                <c:v>Capital Appreciation Better Returns Assured Returns High Interest Rates</c:v>
              </c:pt>
              <c:pt idx="2">
                <c:v>Capital Appreciation Better Returns Assured Returns Risk Free</c:v>
              </c:pt>
              <c:pt idx="3">
                <c:v>Capital Appreciation Better Returns Safe Investment Fixed Returns</c:v>
              </c:pt>
              <c:pt idx="4">
                <c:v>Capital Appreciation Better Returns Safe Investment Risk Free</c:v>
              </c:pt>
              <c:pt idx="5">
                <c:v>Capital Appreciation Fund Diversification Assured Returns Fixed Returns</c:v>
              </c:pt>
              <c:pt idx="6">
                <c:v>Capital Appreciation Fund Diversification Assured Returns Risk Free</c:v>
              </c:pt>
              <c:pt idx="7">
                <c:v>Capital Appreciation Fund Diversification Safe Investment Fixed Returns</c:v>
              </c:pt>
              <c:pt idx="8">
                <c:v>Capital Appreciation Tax Benefits Assured Returns Fixed Returns</c:v>
              </c:pt>
              <c:pt idx="9">
                <c:v>Capital Appreciation Tax Benefits Safe Investment Fixed Returns</c:v>
              </c:pt>
              <c:pt idx="10">
                <c:v>Dividend Better Returns Assured Returns Risk Free</c:v>
              </c:pt>
              <c:pt idx="11">
                <c:v>Dividend Better Returns Safe Investment Fixed Returns</c:v>
              </c:pt>
              <c:pt idx="12">
                <c:v>Dividend Better Returns Safe Investment High Interest Rates</c:v>
              </c:pt>
              <c:pt idx="13">
                <c:v>Dividend Better Returns Safe Investment Risk Free</c:v>
              </c:pt>
              <c:pt idx="14">
                <c:v>Dividend Fund Diversification Assured Returns Fixed Returns</c:v>
              </c:pt>
              <c:pt idx="15">
                <c:v>Dividend Fund Diversification Tax Incentives High Interest Rates</c:v>
              </c:pt>
              <c:pt idx="16">
                <c:v>Liquidity Better Returns Assured Returns Risk Free</c:v>
              </c:pt>
              <c:pt idx="17">
                <c:v>Liquidity Fund Diversification Safe Investment Risk Free</c:v>
              </c:pt>
            </c:strLit>
          </c:cat>
          <c:val>
            <c:numLit>
              <c:formatCode>General</c:formatCode>
              <c:ptCount val="18"/>
              <c:pt idx="0">
                <c:v>4</c:v>
              </c:pt>
              <c:pt idx="1">
                <c:v>1</c:v>
              </c:pt>
              <c:pt idx="2">
                <c:v>9</c:v>
              </c:pt>
              <c:pt idx="3">
                <c:v>3</c:v>
              </c:pt>
              <c:pt idx="4">
                <c:v>1</c:v>
              </c:pt>
              <c:pt idx="5">
                <c:v>3</c:v>
              </c:pt>
              <c:pt idx="6">
                <c:v>4</c:v>
              </c:pt>
              <c:pt idx="7">
                <c:v>2</c:v>
              </c:pt>
              <c:pt idx="8">
                <c:v>1</c:v>
              </c:pt>
              <c:pt idx="9">
                <c:v>2</c:v>
              </c:pt>
              <c:pt idx="10">
                <c:v>1</c:v>
              </c:pt>
              <c:pt idx="11">
                <c:v>1</c:v>
              </c:pt>
              <c:pt idx="12">
                <c:v>1</c:v>
              </c:pt>
              <c:pt idx="13">
                <c:v>2</c:v>
              </c:pt>
              <c:pt idx="14">
                <c:v>2</c:v>
              </c:pt>
              <c:pt idx="15">
                <c:v>1</c:v>
              </c:pt>
              <c:pt idx="16">
                <c:v>1</c:v>
              </c:pt>
              <c:pt idx="17">
                <c:v>1</c:v>
              </c:pt>
            </c:numLit>
          </c:val>
          <c:extLst>
            <c:ext xmlns:c16="http://schemas.microsoft.com/office/drawing/2014/chart" uri="{C3380CC4-5D6E-409C-BE32-E72D297353CC}">
              <c16:uniqueId val="{00000001-22B8-4F03-A817-7D47E8857E1E}"/>
            </c:ext>
          </c:extLst>
        </c:ser>
        <c:ser>
          <c:idx val="2"/>
          <c:order val="2"/>
          <c:tx>
            <c:v>Count of Reason_Bonds</c:v>
          </c:tx>
          <c:spPr>
            <a:solidFill>
              <a:schemeClr val="accent3"/>
            </a:solidFill>
            <a:ln>
              <a:noFill/>
            </a:ln>
            <a:effectLst/>
          </c:spPr>
          <c:invertIfNegative val="0"/>
          <c:cat>
            <c:strLit>
              <c:ptCount val="18"/>
              <c:pt idx="0">
                <c:v>Capital Appreciation Better Returns Assured Returns Fixed Returns</c:v>
              </c:pt>
              <c:pt idx="1">
                <c:v>Capital Appreciation Better Returns Assured Returns High Interest Rates</c:v>
              </c:pt>
              <c:pt idx="2">
                <c:v>Capital Appreciation Better Returns Assured Returns Risk Free</c:v>
              </c:pt>
              <c:pt idx="3">
                <c:v>Capital Appreciation Better Returns Safe Investment Fixed Returns</c:v>
              </c:pt>
              <c:pt idx="4">
                <c:v>Capital Appreciation Better Returns Safe Investment Risk Free</c:v>
              </c:pt>
              <c:pt idx="5">
                <c:v>Capital Appreciation Fund Diversification Assured Returns Fixed Returns</c:v>
              </c:pt>
              <c:pt idx="6">
                <c:v>Capital Appreciation Fund Diversification Assured Returns Risk Free</c:v>
              </c:pt>
              <c:pt idx="7">
                <c:v>Capital Appreciation Fund Diversification Safe Investment Fixed Returns</c:v>
              </c:pt>
              <c:pt idx="8">
                <c:v>Capital Appreciation Tax Benefits Assured Returns Fixed Returns</c:v>
              </c:pt>
              <c:pt idx="9">
                <c:v>Capital Appreciation Tax Benefits Safe Investment Fixed Returns</c:v>
              </c:pt>
              <c:pt idx="10">
                <c:v>Dividend Better Returns Assured Returns Risk Free</c:v>
              </c:pt>
              <c:pt idx="11">
                <c:v>Dividend Better Returns Safe Investment Fixed Returns</c:v>
              </c:pt>
              <c:pt idx="12">
                <c:v>Dividend Better Returns Safe Investment High Interest Rates</c:v>
              </c:pt>
              <c:pt idx="13">
                <c:v>Dividend Better Returns Safe Investment Risk Free</c:v>
              </c:pt>
              <c:pt idx="14">
                <c:v>Dividend Fund Diversification Assured Returns Fixed Returns</c:v>
              </c:pt>
              <c:pt idx="15">
                <c:v>Dividend Fund Diversification Tax Incentives High Interest Rates</c:v>
              </c:pt>
              <c:pt idx="16">
                <c:v>Liquidity Better Returns Assured Returns Risk Free</c:v>
              </c:pt>
              <c:pt idx="17">
                <c:v>Liquidity Fund Diversification Safe Investment Risk Free</c:v>
              </c:pt>
            </c:strLit>
          </c:cat>
          <c:val>
            <c:numLit>
              <c:formatCode>General</c:formatCode>
              <c:ptCount val="18"/>
              <c:pt idx="0">
                <c:v>4</c:v>
              </c:pt>
              <c:pt idx="1">
                <c:v>1</c:v>
              </c:pt>
              <c:pt idx="2">
                <c:v>9</c:v>
              </c:pt>
              <c:pt idx="3">
                <c:v>3</c:v>
              </c:pt>
              <c:pt idx="4">
                <c:v>1</c:v>
              </c:pt>
              <c:pt idx="5">
                <c:v>3</c:v>
              </c:pt>
              <c:pt idx="6">
                <c:v>4</c:v>
              </c:pt>
              <c:pt idx="7">
                <c:v>2</c:v>
              </c:pt>
              <c:pt idx="8">
                <c:v>1</c:v>
              </c:pt>
              <c:pt idx="9">
                <c:v>2</c:v>
              </c:pt>
              <c:pt idx="10">
                <c:v>1</c:v>
              </c:pt>
              <c:pt idx="11">
                <c:v>1</c:v>
              </c:pt>
              <c:pt idx="12">
                <c:v>1</c:v>
              </c:pt>
              <c:pt idx="13">
                <c:v>2</c:v>
              </c:pt>
              <c:pt idx="14">
                <c:v>2</c:v>
              </c:pt>
              <c:pt idx="15">
                <c:v>1</c:v>
              </c:pt>
              <c:pt idx="16">
                <c:v>1</c:v>
              </c:pt>
              <c:pt idx="17">
                <c:v>1</c:v>
              </c:pt>
            </c:numLit>
          </c:val>
          <c:extLst>
            <c:ext xmlns:c16="http://schemas.microsoft.com/office/drawing/2014/chart" uri="{C3380CC4-5D6E-409C-BE32-E72D297353CC}">
              <c16:uniqueId val="{00000002-22B8-4F03-A817-7D47E8857E1E}"/>
            </c:ext>
          </c:extLst>
        </c:ser>
        <c:ser>
          <c:idx val="3"/>
          <c:order val="3"/>
          <c:tx>
            <c:v>Count of Reason_FD</c:v>
          </c:tx>
          <c:spPr>
            <a:solidFill>
              <a:schemeClr val="accent4"/>
            </a:solidFill>
            <a:ln>
              <a:noFill/>
            </a:ln>
            <a:effectLst/>
          </c:spPr>
          <c:invertIfNegative val="0"/>
          <c:cat>
            <c:strLit>
              <c:ptCount val="18"/>
              <c:pt idx="0">
                <c:v>Capital Appreciation Better Returns Assured Returns Fixed Returns</c:v>
              </c:pt>
              <c:pt idx="1">
                <c:v>Capital Appreciation Better Returns Assured Returns High Interest Rates</c:v>
              </c:pt>
              <c:pt idx="2">
                <c:v>Capital Appreciation Better Returns Assured Returns Risk Free</c:v>
              </c:pt>
              <c:pt idx="3">
                <c:v>Capital Appreciation Better Returns Safe Investment Fixed Returns</c:v>
              </c:pt>
              <c:pt idx="4">
                <c:v>Capital Appreciation Better Returns Safe Investment Risk Free</c:v>
              </c:pt>
              <c:pt idx="5">
                <c:v>Capital Appreciation Fund Diversification Assured Returns Fixed Returns</c:v>
              </c:pt>
              <c:pt idx="6">
                <c:v>Capital Appreciation Fund Diversification Assured Returns Risk Free</c:v>
              </c:pt>
              <c:pt idx="7">
                <c:v>Capital Appreciation Fund Diversification Safe Investment Fixed Returns</c:v>
              </c:pt>
              <c:pt idx="8">
                <c:v>Capital Appreciation Tax Benefits Assured Returns Fixed Returns</c:v>
              </c:pt>
              <c:pt idx="9">
                <c:v>Capital Appreciation Tax Benefits Safe Investment Fixed Returns</c:v>
              </c:pt>
              <c:pt idx="10">
                <c:v>Dividend Better Returns Assured Returns Risk Free</c:v>
              </c:pt>
              <c:pt idx="11">
                <c:v>Dividend Better Returns Safe Investment Fixed Returns</c:v>
              </c:pt>
              <c:pt idx="12">
                <c:v>Dividend Better Returns Safe Investment High Interest Rates</c:v>
              </c:pt>
              <c:pt idx="13">
                <c:v>Dividend Better Returns Safe Investment Risk Free</c:v>
              </c:pt>
              <c:pt idx="14">
                <c:v>Dividend Fund Diversification Assured Returns Fixed Returns</c:v>
              </c:pt>
              <c:pt idx="15">
                <c:v>Dividend Fund Diversification Tax Incentives High Interest Rates</c:v>
              </c:pt>
              <c:pt idx="16">
                <c:v>Liquidity Better Returns Assured Returns Risk Free</c:v>
              </c:pt>
              <c:pt idx="17">
                <c:v>Liquidity Fund Diversification Safe Investment Risk Free</c:v>
              </c:pt>
            </c:strLit>
          </c:cat>
          <c:val>
            <c:numLit>
              <c:formatCode>General</c:formatCode>
              <c:ptCount val="18"/>
              <c:pt idx="0">
                <c:v>4</c:v>
              </c:pt>
              <c:pt idx="1">
                <c:v>1</c:v>
              </c:pt>
              <c:pt idx="2">
                <c:v>9</c:v>
              </c:pt>
              <c:pt idx="3">
                <c:v>3</c:v>
              </c:pt>
              <c:pt idx="4">
                <c:v>1</c:v>
              </c:pt>
              <c:pt idx="5">
                <c:v>3</c:v>
              </c:pt>
              <c:pt idx="6">
                <c:v>4</c:v>
              </c:pt>
              <c:pt idx="7">
                <c:v>2</c:v>
              </c:pt>
              <c:pt idx="8">
                <c:v>1</c:v>
              </c:pt>
              <c:pt idx="9">
                <c:v>2</c:v>
              </c:pt>
              <c:pt idx="10">
                <c:v>1</c:v>
              </c:pt>
              <c:pt idx="11">
                <c:v>1</c:v>
              </c:pt>
              <c:pt idx="12">
                <c:v>1</c:v>
              </c:pt>
              <c:pt idx="13">
                <c:v>2</c:v>
              </c:pt>
              <c:pt idx="14">
                <c:v>2</c:v>
              </c:pt>
              <c:pt idx="15">
                <c:v>1</c:v>
              </c:pt>
              <c:pt idx="16">
                <c:v>1</c:v>
              </c:pt>
              <c:pt idx="17">
                <c:v>1</c:v>
              </c:pt>
            </c:numLit>
          </c:val>
          <c:extLst>
            <c:ext xmlns:c16="http://schemas.microsoft.com/office/drawing/2014/chart" uri="{C3380CC4-5D6E-409C-BE32-E72D297353CC}">
              <c16:uniqueId val="{00000003-22B8-4F03-A817-7D47E8857E1E}"/>
            </c:ext>
          </c:extLst>
        </c:ser>
        <c:dLbls>
          <c:showLegendKey val="0"/>
          <c:showVal val="0"/>
          <c:showCatName val="0"/>
          <c:showSerName val="0"/>
          <c:showPercent val="0"/>
          <c:showBubbleSize val="0"/>
        </c:dLbls>
        <c:gapWidth val="150"/>
        <c:overlap val="100"/>
        <c:axId val="1098416640"/>
        <c:axId val="1098411840"/>
      </c:barChart>
      <c:catAx>
        <c:axId val="1098416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411840"/>
        <c:crosses val="autoZero"/>
        <c:auto val="1"/>
        <c:lblAlgn val="ctr"/>
        <c:lblOffset val="100"/>
        <c:noMultiLvlLbl val="0"/>
      </c:catAx>
      <c:valAx>
        <c:axId val="1098411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416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solidFill>
                  <a:schemeClr val="accent3">
                    <a:lumMod val="50000"/>
                  </a:schemeClr>
                </a:solidFill>
              </a:rPr>
              <a:t>DISTRIBUTION</a:t>
            </a:r>
            <a:r>
              <a:rPr lang="en-US" baseline="0">
                <a:solidFill>
                  <a:schemeClr val="accent3">
                    <a:lumMod val="50000"/>
                  </a:schemeClr>
                </a:solidFill>
              </a:rPr>
              <a:t> OF SAVING OBJECTIVES</a:t>
            </a:r>
            <a:endParaRPr lang="en-US">
              <a:solidFill>
                <a:schemeClr val="accent3">
                  <a:lumMod val="5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v>Total</c:v>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083-470B-82F7-7F07B5C37F84}"/>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083-470B-82F7-7F07B5C37F84}"/>
              </c:ext>
            </c:extLst>
          </c:dPt>
          <c:dPt>
            <c:idx val="2"/>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083-470B-82F7-7F07B5C37F8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Education</c:v>
              </c:pt>
              <c:pt idx="1">
                <c:v>Health Care</c:v>
              </c:pt>
              <c:pt idx="2">
                <c:v>Retirement Plan</c:v>
              </c:pt>
            </c:strLit>
          </c:cat>
          <c:val>
            <c:numLit>
              <c:formatCode>General</c:formatCode>
              <c:ptCount val="3"/>
              <c:pt idx="0">
                <c:v>3</c:v>
              </c:pt>
              <c:pt idx="1">
                <c:v>13</c:v>
              </c:pt>
              <c:pt idx="2">
                <c:v>24</c:v>
              </c:pt>
            </c:numLit>
          </c:val>
          <c:extLst>
            <c:ext xmlns:c16="http://schemas.microsoft.com/office/drawing/2014/chart" uri="{C3380CC4-5D6E-409C-BE32-E72D297353CC}">
              <c16:uniqueId val="{00000006-9083-470B-82F7-7F07B5C37F8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accent2">
                    <a:lumMod val="75000"/>
                  </a:schemeClr>
                </a:solidFill>
              </a:rPr>
              <a:t>INVESTMENT</a:t>
            </a:r>
            <a:r>
              <a:rPr lang="en-US" baseline="0">
                <a:solidFill>
                  <a:schemeClr val="accent2">
                    <a:lumMod val="75000"/>
                  </a:schemeClr>
                </a:solidFill>
              </a:rPr>
              <a:t> SOURCES FOR INVESTMENT</a:t>
            </a:r>
            <a:endParaRPr lang="en-US">
              <a:solidFill>
                <a:schemeClr val="accent2">
                  <a:lumMod val="75000"/>
                </a:schemeClr>
              </a:solidFill>
            </a:endParaRPr>
          </a:p>
        </c:rich>
      </c:tx>
      <c:layout>
        <c:manualLayout>
          <c:xMode val="edge"/>
          <c:yMode val="edge"/>
          <c:x val="0.20376344086021506"/>
          <c:y val="5.003459534878401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v>Total</c:v>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4"/>
              <c:pt idx="0">
                <c:v>Financial Consultants</c:v>
              </c:pt>
              <c:pt idx="1">
                <c:v>Internet</c:v>
              </c:pt>
              <c:pt idx="2">
                <c:v>Newspapers and Magazines</c:v>
              </c:pt>
              <c:pt idx="3">
                <c:v>Television</c:v>
              </c:pt>
            </c:strLit>
          </c:cat>
          <c:val>
            <c:numLit>
              <c:formatCode>General</c:formatCode>
              <c:ptCount val="4"/>
              <c:pt idx="0">
                <c:v>16</c:v>
              </c:pt>
              <c:pt idx="1">
                <c:v>4</c:v>
              </c:pt>
              <c:pt idx="2">
                <c:v>14</c:v>
              </c:pt>
              <c:pt idx="3">
                <c:v>6</c:v>
              </c:pt>
            </c:numLit>
          </c:val>
          <c:extLst>
            <c:ext xmlns:c16="http://schemas.microsoft.com/office/drawing/2014/chart" uri="{C3380CC4-5D6E-409C-BE32-E72D297353CC}">
              <c16:uniqueId val="{00000000-C89F-425B-9ADD-18B72B33C76B}"/>
            </c:ext>
          </c:extLst>
        </c:ser>
        <c:dLbls>
          <c:showLegendKey val="0"/>
          <c:showVal val="1"/>
          <c:showCatName val="0"/>
          <c:showSerName val="0"/>
          <c:showPercent val="0"/>
          <c:showBubbleSize val="0"/>
        </c:dLbls>
        <c:gapWidth val="65"/>
        <c:shape val="box"/>
        <c:axId val="1147742687"/>
        <c:axId val="1147743167"/>
        <c:axId val="0"/>
      </c:bar3DChart>
      <c:catAx>
        <c:axId val="114774268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47743167"/>
        <c:crosses val="autoZero"/>
        <c:auto val="1"/>
        <c:lblAlgn val="ctr"/>
        <c:lblOffset val="100"/>
        <c:noMultiLvlLbl val="0"/>
      </c:catAx>
      <c:valAx>
        <c:axId val="1147743167"/>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4774268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solidFill>
                  <a:schemeClr val="bg1"/>
                </a:solidFill>
              </a:rPr>
              <a:t>PARTICIPANTS INVESTMENT ANALYSIS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v>Total</c:v>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Lit>
              <c:ptCount val="3"/>
              <c:pt idx="0">
                <c:v>10%-20%</c:v>
              </c:pt>
              <c:pt idx="1">
                <c:v>20%-30%</c:v>
              </c:pt>
              <c:pt idx="2">
                <c:v>30%-40%</c:v>
              </c:pt>
            </c:strLit>
          </c:cat>
          <c:val>
            <c:numLit>
              <c:formatCode>General</c:formatCode>
              <c:ptCount val="3"/>
              <c:pt idx="0">
                <c:v>3</c:v>
              </c:pt>
              <c:pt idx="1">
                <c:v>32</c:v>
              </c:pt>
              <c:pt idx="2">
                <c:v>5</c:v>
              </c:pt>
            </c:numLit>
          </c:val>
          <c:extLst>
            <c:ext xmlns:c16="http://schemas.microsoft.com/office/drawing/2014/chart" uri="{C3380CC4-5D6E-409C-BE32-E72D297353CC}">
              <c16:uniqueId val="{00000000-343D-4E74-B84F-F274CC8657B6}"/>
            </c:ext>
          </c:extLst>
        </c:ser>
        <c:dLbls>
          <c:showLegendKey val="0"/>
          <c:showVal val="0"/>
          <c:showCatName val="0"/>
          <c:showSerName val="0"/>
          <c:showPercent val="0"/>
          <c:showBubbleSize val="0"/>
        </c:dLbls>
        <c:axId val="833616496"/>
        <c:axId val="833627056"/>
      </c:radarChart>
      <c:catAx>
        <c:axId val="8336164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3627056"/>
        <c:crosses val="autoZero"/>
        <c:auto val="1"/>
        <c:lblAlgn val="ctr"/>
        <c:lblOffset val="100"/>
        <c:noMultiLvlLbl val="0"/>
      </c:catAx>
      <c:valAx>
        <c:axId val="8336270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33616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AGE VS DURATION_NUMBER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'[1]Data_set 2'!$B$1</c:f>
              <c:strCache>
                <c:ptCount val="1"/>
                <c:pt idx="0">
                  <c:v> Duration_number </c:v>
                </c:pt>
              </c:strCache>
            </c:strRef>
          </c:tx>
          <c:spPr>
            <a:ln w="95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numRef>
              <c:f>'Data_set 2'!#REF!</c:f>
            </c:numRef>
          </c:xVal>
          <c:yVal>
            <c:numRef>
              <c:f>'[1]Data_set 2'!$B$2:$B$41</c:f>
              <c:numCache>
                <c:formatCode>General</c:formatCode>
                <c:ptCount val="40"/>
                <c:pt idx="0">
                  <c:v>2</c:v>
                </c:pt>
                <c:pt idx="1">
                  <c:v>6</c:v>
                </c:pt>
                <c:pt idx="2">
                  <c:v>4</c:v>
                </c:pt>
                <c:pt idx="3">
                  <c:v>0.5</c:v>
                </c:pt>
                <c:pt idx="4">
                  <c:v>0.5</c:v>
                </c:pt>
                <c:pt idx="5">
                  <c:v>2</c:v>
                </c:pt>
                <c:pt idx="6">
                  <c:v>4</c:v>
                </c:pt>
                <c:pt idx="7">
                  <c:v>4</c:v>
                </c:pt>
                <c:pt idx="8">
                  <c:v>2</c:v>
                </c:pt>
                <c:pt idx="9">
                  <c:v>4</c:v>
                </c:pt>
                <c:pt idx="10">
                  <c:v>4</c:v>
                </c:pt>
                <c:pt idx="11">
                  <c:v>2</c:v>
                </c:pt>
                <c:pt idx="12">
                  <c:v>2</c:v>
                </c:pt>
                <c:pt idx="13">
                  <c:v>2</c:v>
                </c:pt>
                <c:pt idx="14">
                  <c:v>2</c:v>
                </c:pt>
                <c:pt idx="15">
                  <c:v>2</c:v>
                </c:pt>
                <c:pt idx="16">
                  <c:v>2</c:v>
                </c:pt>
                <c:pt idx="17">
                  <c:v>2</c:v>
                </c:pt>
                <c:pt idx="18">
                  <c:v>2</c:v>
                </c:pt>
                <c:pt idx="19">
                  <c:v>4</c:v>
                </c:pt>
                <c:pt idx="20">
                  <c:v>4</c:v>
                </c:pt>
                <c:pt idx="21">
                  <c:v>4</c:v>
                </c:pt>
                <c:pt idx="22">
                  <c:v>4</c:v>
                </c:pt>
                <c:pt idx="23">
                  <c:v>4</c:v>
                </c:pt>
                <c:pt idx="24">
                  <c:v>4</c:v>
                </c:pt>
                <c:pt idx="25">
                  <c:v>4</c:v>
                </c:pt>
                <c:pt idx="26">
                  <c:v>4</c:v>
                </c:pt>
                <c:pt idx="27">
                  <c:v>2</c:v>
                </c:pt>
                <c:pt idx="28">
                  <c:v>2</c:v>
                </c:pt>
                <c:pt idx="29">
                  <c:v>4</c:v>
                </c:pt>
                <c:pt idx="30">
                  <c:v>2</c:v>
                </c:pt>
                <c:pt idx="31">
                  <c:v>4</c:v>
                </c:pt>
                <c:pt idx="32">
                  <c:v>4</c:v>
                </c:pt>
                <c:pt idx="33">
                  <c:v>2</c:v>
                </c:pt>
                <c:pt idx="34">
                  <c:v>2</c:v>
                </c:pt>
                <c:pt idx="35">
                  <c:v>4</c:v>
                </c:pt>
                <c:pt idx="36">
                  <c:v>2</c:v>
                </c:pt>
                <c:pt idx="37">
                  <c:v>4</c:v>
                </c:pt>
                <c:pt idx="38">
                  <c:v>2</c:v>
                </c:pt>
                <c:pt idx="39">
                  <c:v>4</c:v>
                </c:pt>
              </c:numCache>
            </c:numRef>
          </c:yVal>
          <c:smooth val="0"/>
          <c:extLst>
            <c:ext xmlns:c16="http://schemas.microsoft.com/office/drawing/2014/chart" uri="{C3380CC4-5D6E-409C-BE32-E72D297353CC}">
              <c16:uniqueId val="{00000000-7092-436C-AA37-096F9A18ABF3}"/>
            </c:ext>
          </c:extLst>
        </c:ser>
        <c:dLbls>
          <c:showLegendKey val="0"/>
          <c:showVal val="0"/>
          <c:showCatName val="0"/>
          <c:showSerName val="0"/>
          <c:showPercent val="0"/>
          <c:showBubbleSize val="0"/>
        </c:dLbls>
        <c:axId val="1270307360"/>
        <c:axId val="1270307840"/>
      </c:scatterChart>
      <c:valAx>
        <c:axId val="1270307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307840"/>
        <c:crosses val="autoZero"/>
        <c:crossBetween val="midCat"/>
      </c:valAx>
      <c:valAx>
        <c:axId val="1270307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30736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AGE VS EXCEPT_NUMBER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'[1]Data_set 2'!$C$1</c:f>
              <c:strCache>
                <c:ptCount val="1"/>
                <c:pt idx="0">
                  <c:v>except _number</c:v>
                </c:pt>
              </c:strCache>
            </c:strRef>
          </c:tx>
          <c:spPr>
            <a:ln w="95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numRef>
              <c:f>'Data_set 2'!#REF!</c:f>
            </c:numRef>
          </c:xVal>
          <c:yVal>
            <c:numRef>
              <c:f>'[1]Data_set 2'!$C$2:$C$41</c:f>
              <c:numCache>
                <c:formatCode>General</c:formatCode>
                <c:ptCount val="40"/>
                <c:pt idx="0">
                  <c:v>25</c:v>
                </c:pt>
                <c:pt idx="1">
                  <c:v>25</c:v>
                </c:pt>
                <c:pt idx="2">
                  <c:v>25</c:v>
                </c:pt>
                <c:pt idx="3">
                  <c:v>15</c:v>
                </c:pt>
                <c:pt idx="4">
                  <c:v>25</c:v>
                </c:pt>
                <c:pt idx="5">
                  <c:v>35</c:v>
                </c:pt>
                <c:pt idx="6">
                  <c:v>25</c:v>
                </c:pt>
                <c:pt idx="7">
                  <c:v>25</c:v>
                </c:pt>
                <c:pt idx="8">
                  <c:v>25</c:v>
                </c:pt>
                <c:pt idx="9">
                  <c:v>35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35</c:v>
                </c:pt>
                <c:pt idx="25">
                  <c:v>25</c:v>
                </c:pt>
                <c:pt idx="26">
                  <c:v>25</c:v>
                </c:pt>
                <c:pt idx="27">
                  <c:v>25</c:v>
                </c:pt>
                <c:pt idx="28">
                  <c:v>25</c:v>
                </c:pt>
                <c:pt idx="29">
                  <c:v>15</c:v>
                </c:pt>
                <c:pt idx="30">
                  <c:v>15</c:v>
                </c:pt>
                <c:pt idx="31">
                  <c:v>25</c:v>
                </c:pt>
                <c:pt idx="32">
                  <c:v>35</c:v>
                </c:pt>
                <c:pt idx="33">
                  <c:v>25</c:v>
                </c:pt>
                <c:pt idx="34">
                  <c:v>25</c:v>
                </c:pt>
                <c:pt idx="35">
                  <c:v>25</c:v>
                </c:pt>
                <c:pt idx="36">
                  <c:v>25</c:v>
                </c:pt>
                <c:pt idx="37">
                  <c:v>35</c:v>
                </c:pt>
                <c:pt idx="38">
                  <c:v>25</c:v>
                </c:pt>
                <c:pt idx="39">
                  <c:v>25</c:v>
                </c:pt>
              </c:numCache>
            </c:numRef>
          </c:yVal>
          <c:smooth val="0"/>
          <c:extLst>
            <c:ext xmlns:c16="http://schemas.microsoft.com/office/drawing/2014/chart" uri="{C3380CC4-5D6E-409C-BE32-E72D297353CC}">
              <c16:uniqueId val="{00000000-251E-4CDB-ACE3-DC1A88CFDB37}"/>
            </c:ext>
          </c:extLst>
        </c:ser>
        <c:dLbls>
          <c:showLegendKey val="0"/>
          <c:showVal val="0"/>
          <c:showCatName val="0"/>
          <c:showSerName val="0"/>
          <c:showPercent val="0"/>
          <c:showBubbleSize val="0"/>
        </c:dLbls>
        <c:axId val="1270300640"/>
        <c:axId val="1270325120"/>
      </c:scatterChart>
      <c:valAx>
        <c:axId val="1270300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325120"/>
        <c:crosses val="autoZero"/>
        <c:crossBetween val="midCat"/>
      </c:valAx>
      <c:valAx>
        <c:axId val="1270325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30064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DURATION_NUMBER VS EXCEPTION_NUMBER</a:t>
            </a:r>
          </a:p>
          <a:p>
            <a:pPr>
              <a:defRPr/>
            </a:pPr>
            <a:r>
              <a:rPr lang="en-US" b="1"/>
              <a:t>BUBBLE SIZE =AGE</a:t>
            </a:r>
          </a:p>
        </c:rich>
      </c:tx>
      <c:layout>
        <c:manualLayout>
          <c:xMode val="edge"/>
          <c:yMode val="edge"/>
          <c:x val="0.14070844269466318"/>
          <c:y val="3.287432970400231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0715223097112861E-2"/>
          <c:y val="0.18413078149920256"/>
          <c:w val="0.9223958880139983"/>
          <c:h val="0.7236911175576739"/>
        </c:manualLayout>
      </c:layout>
      <c:bubbleChart>
        <c:varyColors val="0"/>
        <c:ser>
          <c:idx val="0"/>
          <c:order val="0"/>
          <c:tx>
            <c:strRef>
              <c:f>'[1]Data_set 2'!$C$1</c:f>
              <c:strCache>
                <c:ptCount val="1"/>
                <c:pt idx="0">
                  <c:v>except _number</c:v>
                </c:pt>
              </c:strCache>
            </c:strRef>
          </c:tx>
          <c:spPr>
            <a:solidFill>
              <a:schemeClr val="accent1">
                <a:alpha val="75000"/>
              </a:schemeClr>
            </a:solidFill>
            <a:ln>
              <a:noFill/>
            </a:ln>
            <a:effectLst/>
          </c:spPr>
          <c:invertIfNegative val="0"/>
          <c:xVal>
            <c:numRef>
              <c:f>'[1]Data_set 2'!$B$2:$B$41</c:f>
              <c:numCache>
                <c:formatCode>General</c:formatCode>
                <c:ptCount val="40"/>
                <c:pt idx="0">
                  <c:v>2</c:v>
                </c:pt>
                <c:pt idx="1">
                  <c:v>6</c:v>
                </c:pt>
                <c:pt idx="2">
                  <c:v>4</c:v>
                </c:pt>
                <c:pt idx="3">
                  <c:v>0.5</c:v>
                </c:pt>
                <c:pt idx="4">
                  <c:v>0.5</c:v>
                </c:pt>
                <c:pt idx="5">
                  <c:v>2</c:v>
                </c:pt>
                <c:pt idx="6">
                  <c:v>4</c:v>
                </c:pt>
                <c:pt idx="7">
                  <c:v>4</c:v>
                </c:pt>
                <c:pt idx="8">
                  <c:v>2</c:v>
                </c:pt>
                <c:pt idx="9">
                  <c:v>4</c:v>
                </c:pt>
                <c:pt idx="10">
                  <c:v>4</c:v>
                </c:pt>
                <c:pt idx="11">
                  <c:v>2</c:v>
                </c:pt>
                <c:pt idx="12">
                  <c:v>2</c:v>
                </c:pt>
                <c:pt idx="13">
                  <c:v>2</c:v>
                </c:pt>
                <c:pt idx="14">
                  <c:v>2</c:v>
                </c:pt>
                <c:pt idx="15">
                  <c:v>2</c:v>
                </c:pt>
                <c:pt idx="16">
                  <c:v>2</c:v>
                </c:pt>
                <c:pt idx="17">
                  <c:v>2</c:v>
                </c:pt>
                <c:pt idx="18">
                  <c:v>2</c:v>
                </c:pt>
                <c:pt idx="19">
                  <c:v>4</c:v>
                </c:pt>
                <c:pt idx="20">
                  <c:v>4</c:v>
                </c:pt>
                <c:pt idx="21">
                  <c:v>4</c:v>
                </c:pt>
                <c:pt idx="22">
                  <c:v>4</c:v>
                </c:pt>
                <c:pt idx="23">
                  <c:v>4</c:v>
                </c:pt>
                <c:pt idx="24">
                  <c:v>4</c:v>
                </c:pt>
                <c:pt idx="25">
                  <c:v>4</c:v>
                </c:pt>
                <c:pt idx="26">
                  <c:v>4</c:v>
                </c:pt>
                <c:pt idx="27">
                  <c:v>2</c:v>
                </c:pt>
                <c:pt idx="28">
                  <c:v>2</c:v>
                </c:pt>
                <c:pt idx="29">
                  <c:v>4</c:v>
                </c:pt>
                <c:pt idx="30">
                  <c:v>2</c:v>
                </c:pt>
                <c:pt idx="31">
                  <c:v>4</c:v>
                </c:pt>
                <c:pt idx="32">
                  <c:v>4</c:v>
                </c:pt>
                <c:pt idx="33">
                  <c:v>2</c:v>
                </c:pt>
                <c:pt idx="34">
                  <c:v>2</c:v>
                </c:pt>
                <c:pt idx="35">
                  <c:v>4</c:v>
                </c:pt>
                <c:pt idx="36">
                  <c:v>2</c:v>
                </c:pt>
                <c:pt idx="37">
                  <c:v>4</c:v>
                </c:pt>
                <c:pt idx="38">
                  <c:v>2</c:v>
                </c:pt>
                <c:pt idx="39">
                  <c:v>4</c:v>
                </c:pt>
              </c:numCache>
            </c:numRef>
          </c:xVal>
          <c:yVal>
            <c:numRef>
              <c:f>'[1]Data_set 2'!$C$2:$C$41</c:f>
              <c:numCache>
                <c:formatCode>General</c:formatCode>
                <c:ptCount val="40"/>
                <c:pt idx="0">
                  <c:v>25</c:v>
                </c:pt>
                <c:pt idx="1">
                  <c:v>25</c:v>
                </c:pt>
                <c:pt idx="2">
                  <c:v>25</c:v>
                </c:pt>
                <c:pt idx="3">
                  <c:v>15</c:v>
                </c:pt>
                <c:pt idx="4">
                  <c:v>25</c:v>
                </c:pt>
                <c:pt idx="5">
                  <c:v>35</c:v>
                </c:pt>
                <c:pt idx="6">
                  <c:v>25</c:v>
                </c:pt>
                <c:pt idx="7">
                  <c:v>25</c:v>
                </c:pt>
                <c:pt idx="8">
                  <c:v>25</c:v>
                </c:pt>
                <c:pt idx="9">
                  <c:v>35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35</c:v>
                </c:pt>
                <c:pt idx="25">
                  <c:v>25</c:v>
                </c:pt>
                <c:pt idx="26">
                  <c:v>25</c:v>
                </c:pt>
                <c:pt idx="27">
                  <c:v>25</c:v>
                </c:pt>
                <c:pt idx="28">
                  <c:v>25</c:v>
                </c:pt>
                <c:pt idx="29">
                  <c:v>15</c:v>
                </c:pt>
                <c:pt idx="30">
                  <c:v>15</c:v>
                </c:pt>
                <c:pt idx="31">
                  <c:v>25</c:v>
                </c:pt>
                <c:pt idx="32">
                  <c:v>35</c:v>
                </c:pt>
                <c:pt idx="33">
                  <c:v>25</c:v>
                </c:pt>
                <c:pt idx="34">
                  <c:v>25</c:v>
                </c:pt>
                <c:pt idx="35">
                  <c:v>25</c:v>
                </c:pt>
                <c:pt idx="36">
                  <c:v>25</c:v>
                </c:pt>
                <c:pt idx="37">
                  <c:v>35</c:v>
                </c:pt>
                <c:pt idx="38">
                  <c:v>25</c:v>
                </c:pt>
                <c:pt idx="39">
                  <c:v>25</c:v>
                </c:pt>
              </c:numCache>
            </c:numRef>
          </c:yVal>
          <c:bubbleSize>
            <c:numRef>
              <c:f>'[1]Data_set 2'!$D$2:$D$41</c:f>
              <c:numCache>
                <c:formatCode>General</c:formatCode>
                <c:ptCount val="40"/>
                <c:pt idx="0">
                  <c:v>34</c:v>
                </c:pt>
                <c:pt idx="1">
                  <c:v>23</c:v>
                </c:pt>
                <c:pt idx="2">
                  <c:v>30</c:v>
                </c:pt>
                <c:pt idx="3">
                  <c:v>22</c:v>
                </c:pt>
                <c:pt idx="4">
                  <c:v>24</c:v>
                </c:pt>
                <c:pt idx="5">
                  <c:v>24</c:v>
                </c:pt>
                <c:pt idx="6">
                  <c:v>27</c:v>
                </c:pt>
                <c:pt idx="7">
                  <c:v>21</c:v>
                </c:pt>
                <c:pt idx="8">
                  <c:v>35</c:v>
                </c:pt>
                <c:pt idx="9">
                  <c:v>31</c:v>
                </c:pt>
                <c:pt idx="10">
                  <c:v>35</c:v>
                </c:pt>
                <c:pt idx="11">
                  <c:v>29</c:v>
                </c:pt>
                <c:pt idx="12">
                  <c:v>21</c:v>
                </c:pt>
                <c:pt idx="13">
                  <c:v>28</c:v>
                </c:pt>
                <c:pt idx="14">
                  <c:v>25</c:v>
                </c:pt>
                <c:pt idx="15">
                  <c:v>27</c:v>
                </c:pt>
                <c:pt idx="16">
                  <c:v>28</c:v>
                </c:pt>
                <c:pt idx="17">
                  <c:v>27</c:v>
                </c:pt>
                <c:pt idx="18">
                  <c:v>29</c:v>
                </c:pt>
                <c:pt idx="19">
                  <c:v>26</c:v>
                </c:pt>
                <c:pt idx="20">
                  <c:v>29</c:v>
                </c:pt>
                <c:pt idx="21">
                  <c:v>24</c:v>
                </c:pt>
                <c:pt idx="22">
                  <c:v>27</c:v>
                </c:pt>
                <c:pt idx="23">
                  <c:v>25</c:v>
                </c:pt>
                <c:pt idx="24">
                  <c:v>26</c:v>
                </c:pt>
                <c:pt idx="25">
                  <c:v>32</c:v>
                </c:pt>
                <c:pt idx="26">
                  <c:v>26</c:v>
                </c:pt>
                <c:pt idx="27">
                  <c:v>31</c:v>
                </c:pt>
                <c:pt idx="28">
                  <c:v>29</c:v>
                </c:pt>
                <c:pt idx="29">
                  <c:v>34</c:v>
                </c:pt>
                <c:pt idx="30">
                  <c:v>27</c:v>
                </c:pt>
                <c:pt idx="31">
                  <c:v>31</c:v>
                </c:pt>
                <c:pt idx="32">
                  <c:v>27</c:v>
                </c:pt>
                <c:pt idx="33">
                  <c:v>26</c:v>
                </c:pt>
                <c:pt idx="34">
                  <c:v>27</c:v>
                </c:pt>
                <c:pt idx="35">
                  <c:v>30</c:v>
                </c:pt>
                <c:pt idx="36">
                  <c:v>30</c:v>
                </c:pt>
                <c:pt idx="37">
                  <c:v>25</c:v>
                </c:pt>
                <c:pt idx="38">
                  <c:v>31</c:v>
                </c:pt>
                <c:pt idx="39">
                  <c:v>29</c:v>
                </c:pt>
              </c:numCache>
            </c:numRef>
          </c:bubbleSize>
          <c:bubble3D val="1"/>
          <c:extLst>
            <c:ext xmlns:c16="http://schemas.microsoft.com/office/drawing/2014/chart" uri="{C3380CC4-5D6E-409C-BE32-E72D297353CC}">
              <c16:uniqueId val="{00000000-A1FB-4C78-9DED-39E3FDBD6FFA}"/>
            </c:ext>
          </c:extLst>
        </c:ser>
        <c:dLbls>
          <c:showLegendKey val="0"/>
          <c:showVal val="0"/>
          <c:showCatName val="0"/>
          <c:showSerName val="0"/>
          <c:showPercent val="0"/>
          <c:showBubbleSize val="0"/>
        </c:dLbls>
        <c:bubbleScale val="100"/>
        <c:showNegBubbles val="0"/>
        <c:axId val="397077376"/>
        <c:axId val="397068256"/>
      </c:bubbleChart>
      <c:valAx>
        <c:axId val="397077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068256"/>
        <c:crosses val="autoZero"/>
        <c:crossBetween val="midCat"/>
      </c:valAx>
      <c:valAx>
        <c:axId val="397068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07737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INVESTMENT DURATION DISTRIBUTION </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Aptos Narrow" panose="02110004020202020204"/>
            </a:rPr>
            <a:t>INVESTMENT DURATION DISTRIBUTION </a:t>
          </a:r>
        </a:p>
      </cx:txPr>
    </cx:title>
    <cx:plotArea>
      <cx:plotAreaRegion>
        <cx:series layoutId="clusteredColumn" uniqueId="{0A4755C2-2D16-4B10-9551-81BFDCB90D49}">
          <cx:tx>
            <cx:txData>
              <cx:f>_xlchart.v1.0</cx:f>
              <cx:v>Duration 1-3 years More than 5 years 3-5 years Less than 1 year Less than 1 year 1-3 years 3-5 years 3-5 years 1-3 years 3-5 years 3-5 years 1-3 years 1-3 years 1-3 years 1-3 years 1-3 years 1-3 years 1-3 years 1-3 years 3-5 years 3-5 years 3-5 years 3-5 years 3-5 years 3-5 years 3-5 years 3-5 years 1-3 years 1-3 years 3-5 years 1-3 years 3-5 years 3-5 years 1-3 years 1-3 years 3-5 years 1-3 years 3-5 years 1-3 years</cx:v>
            </cx:txData>
          </cx:tx>
          <cx:dataId val="0"/>
          <cx:layoutPr>
            <cx:binning intervalClosed="r"/>
          </cx:layoutPr>
          <cx:axisId val="1"/>
        </cx:series>
        <cx:series layoutId="paretoLine" ownerIdx="0" uniqueId="{042AF957-2D2F-4F43-AEEA-3E3EA94BBD9E}">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INVESTMENT DURATION DISTRIBUTION </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Aptos Narrow" panose="02110004020202020204"/>
            </a:rPr>
            <a:t>INVESTMENT DURATION DISTRIBUTION </a:t>
          </a:r>
        </a:p>
      </cx:txPr>
    </cx:title>
    <cx:plotArea>
      <cx:plotAreaRegion>
        <cx:series layoutId="clusteredColumn" uniqueId="{0A4755C2-2D16-4B10-9551-81BFDCB90D49}">
          <cx:tx>
            <cx:txData>
              <cx:f>_xlchart.v1.2</cx:f>
              <cx:v>Duration 1-3 years More than 5 years 3-5 years Less than 1 year Less than 1 year 1-3 years 3-5 years 3-5 years 1-3 years 3-5 years 3-5 years 1-3 years 1-3 years 1-3 years 1-3 years 1-3 years 1-3 years 1-3 years 1-3 years 3-5 years 3-5 years 3-5 years 3-5 years 3-5 years 3-5 years 3-5 years 3-5 years 1-3 years 1-3 years 3-5 years 1-3 years 3-5 years 3-5 years 1-3 years 1-3 years 3-5 years 1-3 years 3-5 years 1-3 years</cx:v>
            </cx:txData>
          </cx:tx>
          <cx:dataId val="0"/>
          <cx:layoutPr>
            <cx:binning intervalClosed="r"/>
          </cx:layoutPr>
          <cx:axisId val="1"/>
        </cx:series>
        <cx:series layoutId="paretoLine" ownerIdx="0" uniqueId="{042AF957-2D2F-4F43-AEEA-3E3EA94BBD9E}">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21">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321">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2" Type="http://schemas.microsoft.com/office/2014/relationships/chartEx" Target="../charts/chartEx2.xml"/><Relationship Id="rId1" Type="http://schemas.openxmlformats.org/officeDocument/2006/relationships/chart" Target="../charts/chart1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11545</xdr:colOff>
      <xdr:row>12</xdr:row>
      <xdr:rowOff>173182</xdr:rowOff>
    </xdr:from>
    <xdr:to>
      <xdr:col>10</xdr:col>
      <xdr:colOff>238930</xdr:colOff>
      <xdr:row>38</xdr:row>
      <xdr:rowOff>0</xdr:rowOff>
    </xdr:to>
    <xdr:graphicFrame macro="">
      <xdr:nvGraphicFramePr>
        <xdr:cNvPr id="2" name="Chart 1">
          <a:extLst>
            <a:ext uri="{FF2B5EF4-FFF2-40B4-BE49-F238E27FC236}">
              <a16:creationId xmlns:a16="http://schemas.microsoft.com/office/drawing/2014/main" id="{CCEF2E8C-953F-474F-9815-C87A812E0E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588818</xdr:colOff>
      <xdr:row>13</xdr:row>
      <xdr:rowOff>0</xdr:rowOff>
    </xdr:from>
    <xdr:to>
      <xdr:col>22</xdr:col>
      <xdr:colOff>600364</xdr:colOff>
      <xdr:row>38</xdr:row>
      <xdr:rowOff>23091</xdr:rowOff>
    </xdr:to>
    <xdr:graphicFrame macro="">
      <xdr:nvGraphicFramePr>
        <xdr:cNvPr id="3" name="Chart 2">
          <a:extLst>
            <a:ext uri="{FF2B5EF4-FFF2-40B4-BE49-F238E27FC236}">
              <a16:creationId xmlns:a16="http://schemas.microsoft.com/office/drawing/2014/main" id="{8EEF754A-7771-4592-A7EE-722C548A42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34638</xdr:colOff>
      <xdr:row>13</xdr:row>
      <xdr:rowOff>0</xdr:rowOff>
    </xdr:from>
    <xdr:to>
      <xdr:col>49</xdr:col>
      <xdr:colOff>121330</xdr:colOff>
      <xdr:row>38</xdr:row>
      <xdr:rowOff>0</xdr:rowOff>
    </xdr:to>
    <xdr:graphicFrame macro="">
      <xdr:nvGraphicFramePr>
        <xdr:cNvPr id="4" name="Chart 3">
          <a:extLst>
            <a:ext uri="{FF2B5EF4-FFF2-40B4-BE49-F238E27FC236}">
              <a16:creationId xmlns:a16="http://schemas.microsoft.com/office/drawing/2014/main" id="{DDAEAB10-3FB8-4367-B7EA-357D2F9123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52</xdr:row>
      <xdr:rowOff>115453</xdr:rowOff>
    </xdr:from>
    <xdr:to>
      <xdr:col>10</xdr:col>
      <xdr:colOff>224692</xdr:colOff>
      <xdr:row>70</xdr:row>
      <xdr:rowOff>184033</xdr:rowOff>
    </xdr:to>
    <xdr:graphicFrame macro="">
      <xdr:nvGraphicFramePr>
        <xdr:cNvPr id="5" name="Chart 4">
          <a:extLst>
            <a:ext uri="{FF2B5EF4-FFF2-40B4-BE49-F238E27FC236}">
              <a16:creationId xmlns:a16="http://schemas.microsoft.com/office/drawing/2014/main" id="{F522944C-3C78-4932-A96A-D1A9838466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6217</xdr:colOff>
      <xdr:row>52</xdr:row>
      <xdr:rowOff>69272</xdr:rowOff>
    </xdr:from>
    <xdr:to>
      <xdr:col>22</xdr:col>
      <xdr:colOff>113678</xdr:colOff>
      <xdr:row>70</xdr:row>
      <xdr:rowOff>184726</xdr:rowOff>
    </xdr:to>
    <xdr:graphicFrame macro="">
      <xdr:nvGraphicFramePr>
        <xdr:cNvPr id="6" name="Chart 5">
          <a:extLst>
            <a:ext uri="{FF2B5EF4-FFF2-40B4-BE49-F238E27FC236}">
              <a16:creationId xmlns:a16="http://schemas.microsoft.com/office/drawing/2014/main" id="{304CA748-B1ED-463A-813A-EFB3BF462B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78</xdr:row>
      <xdr:rowOff>11545</xdr:rowOff>
    </xdr:from>
    <xdr:to>
      <xdr:col>10</xdr:col>
      <xdr:colOff>214922</xdr:colOff>
      <xdr:row>95</xdr:row>
      <xdr:rowOff>38216</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6107FECE-4377-4D88-819E-5805356CC64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0" y="14649565"/>
              <a:ext cx="7263422" cy="313563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25754</xdr:colOff>
      <xdr:row>77</xdr:row>
      <xdr:rowOff>180285</xdr:rowOff>
    </xdr:from>
    <xdr:to>
      <xdr:col>22</xdr:col>
      <xdr:colOff>142986</xdr:colOff>
      <xdr:row>95</xdr:row>
      <xdr:rowOff>41277</xdr:rowOff>
    </xdr:to>
    <xdr:graphicFrame macro="">
      <xdr:nvGraphicFramePr>
        <xdr:cNvPr id="8" name="Chart 7">
          <a:extLst>
            <a:ext uri="{FF2B5EF4-FFF2-40B4-BE49-F238E27FC236}">
              <a16:creationId xmlns:a16="http://schemas.microsoft.com/office/drawing/2014/main" id="{9396E739-F9B1-4397-BFD0-57EBBBDF89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104</xdr:row>
      <xdr:rowOff>184727</xdr:rowOff>
    </xdr:from>
    <xdr:to>
      <xdr:col>10</xdr:col>
      <xdr:colOff>312614</xdr:colOff>
      <xdr:row>124</xdr:row>
      <xdr:rowOff>23090</xdr:rowOff>
    </xdr:to>
    <xdr:graphicFrame macro="">
      <xdr:nvGraphicFramePr>
        <xdr:cNvPr id="9" name="Chart 8">
          <a:extLst>
            <a:ext uri="{FF2B5EF4-FFF2-40B4-BE49-F238E27FC236}">
              <a16:creationId xmlns:a16="http://schemas.microsoft.com/office/drawing/2014/main" id="{192E0049-97FC-4C0B-878A-87B9AB2DA2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56839</xdr:colOff>
      <xdr:row>104</xdr:row>
      <xdr:rowOff>150090</xdr:rowOff>
    </xdr:from>
    <xdr:to>
      <xdr:col>22</xdr:col>
      <xdr:colOff>330378</xdr:colOff>
      <xdr:row>124</xdr:row>
      <xdr:rowOff>0</xdr:rowOff>
    </xdr:to>
    <xdr:graphicFrame macro="">
      <xdr:nvGraphicFramePr>
        <xdr:cNvPr id="10" name="Chart 9">
          <a:extLst>
            <a:ext uri="{FF2B5EF4-FFF2-40B4-BE49-F238E27FC236}">
              <a16:creationId xmlns:a16="http://schemas.microsoft.com/office/drawing/2014/main" id="{0507708F-CA98-4B25-9635-1C65D02C8F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24</xdr:col>
      <xdr:colOff>49734</xdr:colOff>
      <xdr:row>104</xdr:row>
      <xdr:rowOff>103910</xdr:rowOff>
    </xdr:from>
    <xdr:to>
      <xdr:col>34</xdr:col>
      <xdr:colOff>192721</xdr:colOff>
      <xdr:row>124</xdr:row>
      <xdr:rowOff>0</xdr:rowOff>
    </xdr:to>
    <xdr:graphicFrame macro="">
      <xdr:nvGraphicFramePr>
        <xdr:cNvPr id="11" name="Chart 10">
          <a:extLst>
            <a:ext uri="{FF2B5EF4-FFF2-40B4-BE49-F238E27FC236}">
              <a16:creationId xmlns:a16="http://schemas.microsoft.com/office/drawing/2014/main" id="{F461A05B-D5E1-42DA-A253-FC58153452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11</xdr:col>
      <xdr:colOff>600363</xdr:colOff>
      <xdr:row>7</xdr:row>
      <xdr:rowOff>173182</xdr:rowOff>
    </xdr:from>
    <xdr:to>
      <xdr:col>14</xdr:col>
      <xdr:colOff>593435</xdr:colOff>
      <xdr:row>13</xdr:row>
      <xdr:rowOff>34636</xdr:rowOff>
    </xdr:to>
    <mc:AlternateContent xmlns:mc="http://schemas.openxmlformats.org/markup-compatibility/2006" xmlns:a14="http://schemas.microsoft.com/office/drawing/2010/main">
      <mc:Choice Requires="a14">
        <xdr:graphicFrame macro="">
          <xdr:nvGraphicFramePr>
            <xdr:cNvPr id="14" name="gender 1">
              <a:extLst>
                <a:ext uri="{FF2B5EF4-FFF2-40B4-BE49-F238E27FC236}">
                  <a16:creationId xmlns:a16="http://schemas.microsoft.com/office/drawing/2014/main" id="{EF7CBE11-A10C-48D2-AB77-CC781360B998}"/>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8278090" y="1604818"/>
              <a:ext cx="1828800" cy="12007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xdr:colOff>
      <xdr:row>7</xdr:row>
      <xdr:rowOff>173182</xdr:rowOff>
    </xdr:from>
    <xdr:to>
      <xdr:col>18</xdr:col>
      <xdr:colOff>34635</xdr:colOff>
      <xdr:row>13</xdr:row>
      <xdr:rowOff>34635</xdr:rowOff>
    </xdr:to>
    <mc:AlternateContent xmlns:mc="http://schemas.openxmlformats.org/markup-compatibility/2006" xmlns:a14="http://schemas.microsoft.com/office/drawing/2010/main">
      <mc:Choice Requires="a14">
        <xdr:graphicFrame macro="">
          <xdr:nvGraphicFramePr>
            <xdr:cNvPr id="15" name="Investment_Avenues 1">
              <a:extLst>
                <a:ext uri="{FF2B5EF4-FFF2-40B4-BE49-F238E27FC236}">
                  <a16:creationId xmlns:a16="http://schemas.microsoft.com/office/drawing/2014/main" id="{6AFE7688-492F-406B-BC08-3E923BE89957}"/>
                </a:ext>
              </a:extLst>
            </xdr:cNvPr>
            <xdr:cNvGraphicFramePr/>
          </xdr:nvGraphicFramePr>
          <xdr:xfrm>
            <a:off x="0" y="0"/>
            <a:ext cx="0" cy="0"/>
          </xdr:xfrm>
          <a:graphic>
            <a:graphicData uri="http://schemas.microsoft.com/office/drawing/2010/slicer">
              <sle:slicer xmlns:sle="http://schemas.microsoft.com/office/drawing/2010/slicer" name="Investment_Avenues 1"/>
            </a:graphicData>
          </a:graphic>
        </xdr:graphicFrame>
      </mc:Choice>
      <mc:Fallback xmlns="">
        <xdr:sp macro="" textlink="">
          <xdr:nvSpPr>
            <xdr:cNvPr id="0" name=""/>
            <xdr:cNvSpPr>
              <a:spLocks noTextEdit="1"/>
            </xdr:cNvSpPr>
          </xdr:nvSpPr>
          <xdr:spPr>
            <a:xfrm>
              <a:off x="10125363" y="1604818"/>
              <a:ext cx="1870363" cy="12007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34635</xdr:colOff>
      <xdr:row>7</xdr:row>
      <xdr:rowOff>173181</xdr:rowOff>
    </xdr:from>
    <xdr:to>
      <xdr:col>21</xdr:col>
      <xdr:colOff>46181</xdr:colOff>
      <xdr:row>12</xdr:row>
      <xdr:rowOff>184726</xdr:rowOff>
    </xdr:to>
    <mc:AlternateContent xmlns:mc="http://schemas.openxmlformats.org/markup-compatibility/2006" xmlns:a14="http://schemas.microsoft.com/office/drawing/2010/main">
      <mc:Choice Requires="a14">
        <xdr:graphicFrame macro="">
          <xdr:nvGraphicFramePr>
            <xdr:cNvPr id="16" name="Objective 1">
              <a:extLst>
                <a:ext uri="{FF2B5EF4-FFF2-40B4-BE49-F238E27FC236}">
                  <a16:creationId xmlns:a16="http://schemas.microsoft.com/office/drawing/2014/main" id="{EA83CC2D-F844-4735-878B-F97531D17B11}"/>
                </a:ext>
              </a:extLst>
            </xdr:cNvPr>
            <xdr:cNvGraphicFramePr/>
          </xdr:nvGraphicFramePr>
          <xdr:xfrm>
            <a:off x="0" y="0"/>
            <a:ext cx="0" cy="0"/>
          </xdr:xfrm>
          <a:graphic>
            <a:graphicData uri="http://schemas.microsoft.com/office/drawing/2010/slicer">
              <sle:slicer xmlns:sle="http://schemas.microsoft.com/office/drawing/2010/slicer" name="Objective 1"/>
            </a:graphicData>
          </a:graphic>
        </xdr:graphicFrame>
      </mc:Choice>
      <mc:Fallback xmlns="">
        <xdr:sp macro="" textlink="">
          <xdr:nvSpPr>
            <xdr:cNvPr id="0" name=""/>
            <xdr:cNvSpPr>
              <a:spLocks noTextEdit="1"/>
            </xdr:cNvSpPr>
          </xdr:nvSpPr>
          <xdr:spPr>
            <a:xfrm>
              <a:off x="11995726" y="1604817"/>
              <a:ext cx="1847273" cy="11660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44</xdr:row>
      <xdr:rowOff>0</xdr:rowOff>
    </xdr:from>
    <xdr:to>
      <xdr:col>2</xdr:col>
      <xdr:colOff>604982</xdr:colOff>
      <xdr:row>52</xdr:row>
      <xdr:rowOff>115454</xdr:rowOff>
    </xdr:to>
    <mc:AlternateContent xmlns:mc="http://schemas.openxmlformats.org/markup-compatibility/2006" xmlns:a14="http://schemas.microsoft.com/office/drawing/2010/main">
      <mc:Choice Requires="a14">
        <xdr:graphicFrame macro="">
          <xdr:nvGraphicFramePr>
            <xdr:cNvPr id="17" name="gender">
              <a:extLst>
                <a:ext uri="{FF2B5EF4-FFF2-40B4-BE49-F238E27FC236}">
                  <a16:creationId xmlns:a16="http://schemas.microsoft.com/office/drawing/2014/main" id="{E366CF99-33AA-4C62-B587-2792950CC57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8497455"/>
              <a:ext cx="1828800" cy="15932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44</xdr:row>
      <xdr:rowOff>0</xdr:rowOff>
    </xdr:from>
    <xdr:to>
      <xdr:col>5</xdr:col>
      <xdr:colOff>604982</xdr:colOff>
      <xdr:row>52</xdr:row>
      <xdr:rowOff>115454</xdr:rowOff>
    </xdr:to>
    <mc:AlternateContent xmlns:mc="http://schemas.openxmlformats.org/markup-compatibility/2006" xmlns:a14="http://schemas.microsoft.com/office/drawing/2010/main">
      <mc:Choice Requires="a14">
        <xdr:graphicFrame macro="">
          <xdr:nvGraphicFramePr>
            <xdr:cNvPr id="18" name="age">
              <a:extLst>
                <a:ext uri="{FF2B5EF4-FFF2-40B4-BE49-F238E27FC236}">
                  <a16:creationId xmlns:a16="http://schemas.microsoft.com/office/drawing/2014/main" id="{2050BF4F-2179-41FD-ADD8-DD01498EB76A}"/>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835727" y="8497455"/>
              <a:ext cx="1828800" cy="15932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0</xdr:colOff>
      <xdr:row>44</xdr:row>
      <xdr:rowOff>0</xdr:rowOff>
    </xdr:from>
    <xdr:to>
      <xdr:col>7</xdr:col>
      <xdr:colOff>1170710</xdr:colOff>
      <xdr:row>52</xdr:row>
      <xdr:rowOff>103909</xdr:rowOff>
    </xdr:to>
    <mc:AlternateContent xmlns:mc="http://schemas.openxmlformats.org/markup-compatibility/2006" xmlns:a14="http://schemas.microsoft.com/office/drawing/2010/main">
      <mc:Choice Requires="a14">
        <xdr:graphicFrame macro="">
          <xdr:nvGraphicFramePr>
            <xdr:cNvPr id="19" name="Investment_Avenues">
              <a:extLst>
                <a:ext uri="{FF2B5EF4-FFF2-40B4-BE49-F238E27FC236}">
                  <a16:creationId xmlns:a16="http://schemas.microsoft.com/office/drawing/2014/main" id="{563CDE6D-3323-4B18-A957-723B3A5827AF}"/>
                </a:ext>
              </a:extLst>
            </xdr:cNvPr>
            <xdr:cNvGraphicFramePr/>
          </xdr:nvGraphicFramePr>
          <xdr:xfrm>
            <a:off x="0" y="0"/>
            <a:ext cx="0" cy="0"/>
          </xdr:xfrm>
          <a:graphic>
            <a:graphicData uri="http://schemas.microsoft.com/office/drawing/2010/slicer">
              <sle:slicer xmlns:sle="http://schemas.microsoft.com/office/drawing/2010/slicer" name="Investment_Avenues"/>
            </a:graphicData>
          </a:graphic>
        </xdr:graphicFrame>
      </mc:Choice>
      <mc:Fallback xmlns="">
        <xdr:sp macro="" textlink="">
          <xdr:nvSpPr>
            <xdr:cNvPr id="0" name=""/>
            <xdr:cNvSpPr>
              <a:spLocks noTextEdit="1"/>
            </xdr:cNvSpPr>
          </xdr:nvSpPr>
          <xdr:spPr>
            <a:xfrm>
              <a:off x="3671455" y="8497455"/>
              <a:ext cx="1828800" cy="15817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25</xdr:col>
      <xdr:colOff>0</xdr:colOff>
      <xdr:row>9</xdr:row>
      <xdr:rowOff>0</xdr:rowOff>
    </xdr:from>
    <xdr:to>
      <xdr:col>35</xdr:col>
      <xdr:colOff>486028</xdr:colOff>
      <xdr:row>32</xdr:row>
      <xdr:rowOff>66603</xdr:rowOff>
    </xdr:to>
    <xdr:graphicFrame macro="">
      <xdr:nvGraphicFramePr>
        <xdr:cNvPr id="2" name="Chart 1">
          <a:extLst>
            <a:ext uri="{FF2B5EF4-FFF2-40B4-BE49-F238E27FC236}">
              <a16:creationId xmlns:a16="http://schemas.microsoft.com/office/drawing/2014/main" id="{52E5B1B0-F082-48FE-B929-F11B6CFEFB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25</xdr:col>
      <xdr:colOff>0</xdr:colOff>
      <xdr:row>6</xdr:row>
      <xdr:rowOff>0</xdr:rowOff>
    </xdr:from>
    <xdr:to>
      <xdr:col>32</xdr:col>
      <xdr:colOff>403731</xdr:colOff>
      <xdr:row>40</xdr:row>
      <xdr:rowOff>28442</xdr:rowOff>
    </xdr:to>
    <xdr:graphicFrame macro="">
      <xdr:nvGraphicFramePr>
        <xdr:cNvPr id="2" name="Chart 1">
          <a:extLst>
            <a:ext uri="{FF2B5EF4-FFF2-40B4-BE49-F238E27FC236}">
              <a16:creationId xmlns:a16="http://schemas.microsoft.com/office/drawing/2014/main" id="{72E22DD3-5659-45CA-A5B1-17AE4CB27E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45</xdr:col>
      <xdr:colOff>0</xdr:colOff>
      <xdr:row>1</xdr:row>
      <xdr:rowOff>33618</xdr:rowOff>
    </xdr:from>
    <xdr:to>
      <xdr:col>69</xdr:col>
      <xdr:colOff>578707</xdr:colOff>
      <xdr:row>50</xdr:row>
      <xdr:rowOff>115457</xdr:rowOff>
    </xdr:to>
    <xdr:graphicFrame macro="">
      <xdr:nvGraphicFramePr>
        <xdr:cNvPr id="3" name="Chart 2">
          <a:extLst>
            <a:ext uri="{FF2B5EF4-FFF2-40B4-BE49-F238E27FC236}">
              <a16:creationId xmlns:a16="http://schemas.microsoft.com/office/drawing/2014/main" id="{3CC41BA9-58FE-49F3-BBC7-6094E8DF30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25</xdr:col>
      <xdr:colOff>0</xdr:colOff>
      <xdr:row>7</xdr:row>
      <xdr:rowOff>0</xdr:rowOff>
    </xdr:from>
    <xdr:to>
      <xdr:col>30</xdr:col>
      <xdr:colOff>53340</xdr:colOff>
      <xdr:row>25</xdr:row>
      <xdr:rowOff>68580</xdr:rowOff>
    </xdr:to>
    <xdr:graphicFrame macro="">
      <xdr:nvGraphicFramePr>
        <xdr:cNvPr id="2" name="Chart 1">
          <a:extLst>
            <a:ext uri="{FF2B5EF4-FFF2-40B4-BE49-F238E27FC236}">
              <a16:creationId xmlns:a16="http://schemas.microsoft.com/office/drawing/2014/main" id="{770B7D2E-39F9-4456-A528-420F99E975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32</xdr:col>
      <xdr:colOff>0</xdr:colOff>
      <xdr:row>7</xdr:row>
      <xdr:rowOff>0</xdr:rowOff>
    </xdr:from>
    <xdr:to>
      <xdr:col>39</xdr:col>
      <xdr:colOff>243840</xdr:colOff>
      <xdr:row>26</xdr:row>
      <xdr:rowOff>22860</xdr:rowOff>
    </xdr:to>
    <xdr:graphicFrame macro="">
      <xdr:nvGraphicFramePr>
        <xdr:cNvPr id="3" name="Chart 2">
          <a:extLst>
            <a:ext uri="{FF2B5EF4-FFF2-40B4-BE49-F238E27FC236}">
              <a16:creationId xmlns:a16="http://schemas.microsoft.com/office/drawing/2014/main" id="{9809A29E-991F-4E74-BEE5-D2EC397354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34</xdr:col>
      <xdr:colOff>0</xdr:colOff>
      <xdr:row>7</xdr:row>
      <xdr:rowOff>0</xdr:rowOff>
    </xdr:from>
    <xdr:to>
      <xdr:col>40</xdr:col>
      <xdr:colOff>396240</xdr:colOff>
      <xdr:row>24</xdr:row>
      <xdr:rowOff>45720</xdr:rowOff>
    </xdr:to>
    <xdr:graphicFrame macro="">
      <xdr:nvGraphicFramePr>
        <xdr:cNvPr id="3" name="Chart 2">
          <a:extLst>
            <a:ext uri="{FF2B5EF4-FFF2-40B4-BE49-F238E27FC236}">
              <a16:creationId xmlns:a16="http://schemas.microsoft.com/office/drawing/2014/main" id="{5EC42D27-8A74-4993-92F0-64FA147F43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7620</xdr:colOff>
      <xdr:row>6</xdr:row>
      <xdr:rowOff>163830</xdr:rowOff>
    </xdr:from>
    <xdr:to>
      <xdr:col>31</xdr:col>
      <xdr:colOff>53340</xdr:colOff>
      <xdr:row>24</xdr:row>
      <xdr:rowOff>7620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83B975BF-14A1-AA9D-43DD-3C736A18132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6075640" y="1261110"/>
              <a:ext cx="4572000" cy="31356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28</xdr:col>
      <xdr:colOff>83820</xdr:colOff>
      <xdr:row>6</xdr:row>
      <xdr:rowOff>0</xdr:rowOff>
    </xdr:from>
    <xdr:to>
      <xdr:col>33</xdr:col>
      <xdr:colOff>38100</xdr:colOff>
      <xdr:row>23</xdr:row>
      <xdr:rowOff>15240</xdr:rowOff>
    </xdr:to>
    <xdr:graphicFrame macro="">
      <xdr:nvGraphicFramePr>
        <xdr:cNvPr id="2" name="Chart 1">
          <a:extLst>
            <a:ext uri="{FF2B5EF4-FFF2-40B4-BE49-F238E27FC236}">
              <a16:creationId xmlns:a16="http://schemas.microsoft.com/office/drawing/2014/main" id="{0DC40C87-E51D-4DB8-80D6-51FD151E14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34</xdr:col>
      <xdr:colOff>0</xdr:colOff>
      <xdr:row>6</xdr:row>
      <xdr:rowOff>0</xdr:rowOff>
    </xdr:from>
    <xdr:to>
      <xdr:col>41</xdr:col>
      <xdr:colOff>304800</xdr:colOff>
      <xdr:row>23</xdr:row>
      <xdr:rowOff>38100</xdr:rowOff>
    </xdr:to>
    <xdr:graphicFrame macro="">
      <xdr:nvGraphicFramePr>
        <xdr:cNvPr id="3" name="Chart 2">
          <a:extLst>
            <a:ext uri="{FF2B5EF4-FFF2-40B4-BE49-F238E27FC236}">
              <a16:creationId xmlns:a16="http://schemas.microsoft.com/office/drawing/2014/main" id="{F024E601-B386-4F9A-A23A-22AFCAD04B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42</xdr:col>
      <xdr:colOff>129540</xdr:colOff>
      <xdr:row>5</xdr:row>
      <xdr:rowOff>137160</xdr:rowOff>
    </xdr:from>
    <xdr:to>
      <xdr:col>49</xdr:col>
      <xdr:colOff>434340</xdr:colOff>
      <xdr:row>23</xdr:row>
      <xdr:rowOff>30480</xdr:rowOff>
    </xdr:to>
    <xdr:graphicFrame macro="">
      <xdr:nvGraphicFramePr>
        <xdr:cNvPr id="4" name="Chart 3">
          <a:extLst>
            <a:ext uri="{FF2B5EF4-FFF2-40B4-BE49-F238E27FC236}">
              <a16:creationId xmlns:a16="http://schemas.microsoft.com/office/drawing/2014/main" id="{1A0159C3-E7ED-4631-9FB5-22C2D4603F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76ce9bce12833722/Documents/correlation%20%20analysis%20.xlsx" TargetMode="External"/><Relationship Id="rId1" Type="http://schemas.openxmlformats.org/officeDocument/2006/relationships/externalLinkPath" Target="correlation%20%20analysis%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4"/>
      <sheetName val="Data_set 2"/>
    </sheetNames>
    <sheetDataSet>
      <sheetData sheetId="0"/>
      <sheetData sheetId="1">
        <row r="1">
          <cell r="B1" t="str">
            <v xml:space="preserve"> Duration_number </v>
          </cell>
          <cell r="C1" t="str">
            <v>except _number</v>
          </cell>
        </row>
        <row r="2">
          <cell r="B2">
            <v>2</v>
          </cell>
          <cell r="C2">
            <v>25</v>
          </cell>
          <cell r="D2">
            <v>34</v>
          </cell>
        </row>
        <row r="3">
          <cell r="B3">
            <v>6</v>
          </cell>
          <cell r="C3">
            <v>25</v>
          </cell>
          <cell r="D3">
            <v>23</v>
          </cell>
        </row>
        <row r="4">
          <cell r="B4">
            <v>4</v>
          </cell>
          <cell r="C4">
            <v>25</v>
          </cell>
          <cell r="D4">
            <v>30</v>
          </cell>
        </row>
        <row r="5">
          <cell r="B5">
            <v>0.5</v>
          </cell>
          <cell r="C5">
            <v>15</v>
          </cell>
          <cell r="D5">
            <v>22</v>
          </cell>
        </row>
        <row r="6">
          <cell r="B6">
            <v>0.5</v>
          </cell>
          <cell r="C6">
            <v>25</v>
          </cell>
          <cell r="D6">
            <v>24</v>
          </cell>
        </row>
        <row r="7">
          <cell r="B7">
            <v>2</v>
          </cell>
          <cell r="C7">
            <v>35</v>
          </cell>
          <cell r="D7">
            <v>24</v>
          </cell>
        </row>
        <row r="8">
          <cell r="B8">
            <v>4</v>
          </cell>
          <cell r="C8">
            <v>25</v>
          </cell>
          <cell r="D8">
            <v>27</v>
          </cell>
        </row>
        <row r="9">
          <cell r="B9">
            <v>4</v>
          </cell>
          <cell r="C9">
            <v>25</v>
          </cell>
          <cell r="D9">
            <v>21</v>
          </cell>
        </row>
        <row r="10">
          <cell r="B10">
            <v>2</v>
          </cell>
          <cell r="C10">
            <v>25</v>
          </cell>
          <cell r="D10">
            <v>35</v>
          </cell>
        </row>
        <row r="11">
          <cell r="B11">
            <v>4</v>
          </cell>
          <cell r="C11">
            <v>35</v>
          </cell>
          <cell r="D11">
            <v>31</v>
          </cell>
        </row>
        <row r="12">
          <cell r="B12">
            <v>4</v>
          </cell>
          <cell r="C12">
            <v>25</v>
          </cell>
          <cell r="D12">
            <v>35</v>
          </cell>
        </row>
        <row r="13">
          <cell r="B13">
            <v>2</v>
          </cell>
          <cell r="C13">
            <v>25</v>
          </cell>
          <cell r="D13">
            <v>29</v>
          </cell>
        </row>
        <row r="14">
          <cell r="B14">
            <v>2</v>
          </cell>
          <cell r="C14">
            <v>25</v>
          </cell>
          <cell r="D14">
            <v>21</v>
          </cell>
        </row>
        <row r="15">
          <cell r="B15">
            <v>2</v>
          </cell>
          <cell r="C15">
            <v>25</v>
          </cell>
          <cell r="D15">
            <v>28</v>
          </cell>
        </row>
        <row r="16">
          <cell r="B16">
            <v>2</v>
          </cell>
          <cell r="C16">
            <v>25</v>
          </cell>
          <cell r="D16">
            <v>25</v>
          </cell>
        </row>
        <row r="17">
          <cell r="B17">
            <v>2</v>
          </cell>
          <cell r="C17">
            <v>25</v>
          </cell>
          <cell r="D17">
            <v>27</v>
          </cell>
        </row>
        <row r="18">
          <cell r="B18">
            <v>2</v>
          </cell>
          <cell r="C18">
            <v>25</v>
          </cell>
          <cell r="D18">
            <v>28</v>
          </cell>
        </row>
        <row r="19">
          <cell r="B19">
            <v>2</v>
          </cell>
          <cell r="C19">
            <v>25</v>
          </cell>
          <cell r="D19">
            <v>27</v>
          </cell>
        </row>
        <row r="20">
          <cell r="B20">
            <v>2</v>
          </cell>
          <cell r="C20">
            <v>25</v>
          </cell>
          <cell r="D20">
            <v>29</v>
          </cell>
        </row>
        <row r="21">
          <cell r="B21">
            <v>4</v>
          </cell>
          <cell r="C21">
            <v>25</v>
          </cell>
          <cell r="D21">
            <v>26</v>
          </cell>
        </row>
        <row r="22">
          <cell r="B22">
            <v>4</v>
          </cell>
          <cell r="C22">
            <v>25</v>
          </cell>
          <cell r="D22">
            <v>29</v>
          </cell>
        </row>
        <row r="23">
          <cell r="B23">
            <v>4</v>
          </cell>
          <cell r="C23">
            <v>25</v>
          </cell>
          <cell r="D23">
            <v>24</v>
          </cell>
        </row>
        <row r="24">
          <cell r="B24">
            <v>4</v>
          </cell>
          <cell r="C24">
            <v>25</v>
          </cell>
          <cell r="D24">
            <v>27</v>
          </cell>
        </row>
        <row r="25">
          <cell r="B25">
            <v>4</v>
          </cell>
          <cell r="C25">
            <v>25</v>
          </cell>
          <cell r="D25">
            <v>25</v>
          </cell>
        </row>
        <row r="26">
          <cell r="B26">
            <v>4</v>
          </cell>
          <cell r="C26">
            <v>35</v>
          </cell>
          <cell r="D26">
            <v>26</v>
          </cell>
        </row>
        <row r="27">
          <cell r="B27">
            <v>4</v>
          </cell>
          <cell r="C27">
            <v>25</v>
          </cell>
          <cell r="D27">
            <v>32</v>
          </cell>
        </row>
        <row r="28">
          <cell r="B28">
            <v>4</v>
          </cell>
          <cell r="C28">
            <v>25</v>
          </cell>
          <cell r="D28">
            <v>26</v>
          </cell>
        </row>
        <row r="29">
          <cell r="B29">
            <v>2</v>
          </cell>
          <cell r="C29">
            <v>25</v>
          </cell>
          <cell r="D29">
            <v>31</v>
          </cell>
        </row>
        <row r="30">
          <cell r="B30">
            <v>2</v>
          </cell>
          <cell r="C30">
            <v>25</v>
          </cell>
          <cell r="D30">
            <v>29</v>
          </cell>
        </row>
        <row r="31">
          <cell r="B31">
            <v>4</v>
          </cell>
          <cell r="C31">
            <v>15</v>
          </cell>
          <cell r="D31">
            <v>34</v>
          </cell>
        </row>
        <row r="32">
          <cell r="B32">
            <v>2</v>
          </cell>
          <cell r="C32">
            <v>15</v>
          </cell>
          <cell r="D32">
            <v>27</v>
          </cell>
        </row>
        <row r="33">
          <cell r="B33">
            <v>4</v>
          </cell>
          <cell r="C33">
            <v>25</v>
          </cell>
          <cell r="D33">
            <v>31</v>
          </cell>
        </row>
        <row r="34">
          <cell r="B34">
            <v>4</v>
          </cell>
          <cell r="C34">
            <v>35</v>
          </cell>
          <cell r="D34">
            <v>27</v>
          </cell>
        </row>
        <row r="35">
          <cell r="B35">
            <v>2</v>
          </cell>
          <cell r="C35">
            <v>25</v>
          </cell>
          <cell r="D35">
            <v>26</v>
          </cell>
        </row>
        <row r="36">
          <cell r="B36">
            <v>2</v>
          </cell>
          <cell r="C36">
            <v>25</v>
          </cell>
          <cell r="D36">
            <v>27</v>
          </cell>
        </row>
        <row r="37">
          <cell r="B37">
            <v>4</v>
          </cell>
          <cell r="C37">
            <v>25</v>
          </cell>
          <cell r="D37">
            <v>30</v>
          </cell>
        </row>
        <row r="38">
          <cell r="B38">
            <v>2</v>
          </cell>
          <cell r="C38">
            <v>25</v>
          </cell>
          <cell r="D38">
            <v>30</v>
          </cell>
        </row>
        <row r="39">
          <cell r="B39">
            <v>4</v>
          </cell>
          <cell r="C39">
            <v>35</v>
          </cell>
          <cell r="D39">
            <v>25</v>
          </cell>
        </row>
        <row r="40">
          <cell r="B40">
            <v>2</v>
          </cell>
          <cell r="C40">
            <v>25</v>
          </cell>
          <cell r="D40">
            <v>31</v>
          </cell>
        </row>
        <row r="41">
          <cell r="B41">
            <v>4</v>
          </cell>
          <cell r="C41">
            <v>25</v>
          </cell>
          <cell r="D41">
            <v>29</v>
          </cell>
        </row>
      </sheetData>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2" Type="http://schemas.openxmlformats.org/officeDocument/2006/relationships/externalLinkPath" Target="GitHub/gender_distribution_analysis/gender%20distribution%20analysis%20.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investment%20preference%20analysis%20.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objective%20sources%20analysis.xlsx"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openxmlformats.org/officeDocument/2006/relationships/externalLinkPath" Target="duration%20expectations%20analysis.xlsx" TargetMode="External"/><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KEERTHI" refreshedDate="46093.499145949078" createdVersion="8" refreshedVersion="8" minRefreshableVersion="3" recordCount="40" xr:uid="{9F5C4EBA-D73B-4A14-9695-138DD1D7DF6B}">
  <cacheSource type="worksheet">
    <worksheetSource name="Table1" r:id="rId2"/>
  </cacheSource>
  <cacheFields count="24">
    <cacheField name="gender" numFmtId="0">
      <sharedItems count="2">
        <s v="Female"/>
        <s v="Male"/>
      </sharedItems>
    </cacheField>
    <cacheField name="age" numFmtId="0">
      <sharedItems containsSemiMixedTypes="0" containsString="0" containsNumber="1" containsInteger="1" minValue="21" maxValue="35"/>
    </cacheField>
    <cacheField name="Investment_Avenues" numFmtId="0">
      <sharedItems/>
    </cacheField>
    <cacheField name="Mutual_Funds" numFmtId="0">
      <sharedItems containsSemiMixedTypes="0" containsString="0" containsNumber="1" containsInteger="1" minValue="1" maxValue="7"/>
    </cacheField>
    <cacheField name="Equity_Market" numFmtId="0">
      <sharedItems containsSemiMixedTypes="0" containsString="0" containsNumber="1" containsInteger="1" minValue="1" maxValue="6"/>
    </cacheField>
    <cacheField name="Debentures" numFmtId="0">
      <sharedItems containsSemiMixedTypes="0" containsString="0" containsNumber="1" containsInteger="1" minValue="1" maxValue="7"/>
    </cacheField>
    <cacheField name="Government_Bonds" numFmtId="0">
      <sharedItems containsSemiMixedTypes="0" containsString="0" containsNumber="1" containsInteger="1" minValue="1" maxValue="7"/>
    </cacheField>
    <cacheField name="Fixed_Deposits" numFmtId="0">
      <sharedItems containsSemiMixedTypes="0" containsString="0" containsNumber="1" containsInteger="1" minValue="1" maxValue="7"/>
    </cacheField>
    <cacheField name="PPF" numFmtId="0">
      <sharedItems containsSemiMixedTypes="0" containsString="0" containsNumber="1" containsInteger="1" minValue="1" maxValue="6"/>
    </cacheField>
    <cacheField name="Gold" numFmtId="0">
      <sharedItems containsSemiMixedTypes="0" containsString="0" containsNumber="1" containsInteger="1" minValue="2" maxValue="7"/>
    </cacheField>
    <cacheField name="Stock_Marktet" numFmtId="0">
      <sharedItems/>
    </cacheField>
    <cacheField name="Factor" numFmtId="0">
      <sharedItems/>
    </cacheField>
    <cacheField name="Objective" numFmtId="0">
      <sharedItems/>
    </cacheField>
    <cacheField name="Purpose" numFmtId="0">
      <sharedItems/>
    </cacheField>
    <cacheField name="Duration" numFmtId="0">
      <sharedItems/>
    </cacheField>
    <cacheField name="Invest_Monitor" numFmtId="0">
      <sharedItems/>
    </cacheField>
    <cacheField name="Expect" numFmtId="0">
      <sharedItems/>
    </cacheField>
    <cacheField name="Avenue" numFmtId="0">
      <sharedItems/>
    </cacheField>
    <cacheField name="What are your savings objectives?" numFmtId="0">
      <sharedItems/>
    </cacheField>
    <cacheField name="Reason_Equity" numFmtId="0">
      <sharedItems/>
    </cacheField>
    <cacheField name="Reason_Mutual" numFmtId="0">
      <sharedItems/>
    </cacheField>
    <cacheField name="Reason_Bonds" numFmtId="0">
      <sharedItems/>
    </cacheField>
    <cacheField name="Reason_FD" numFmtId="0">
      <sharedItems/>
    </cacheField>
    <cacheField name="Sourc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KEERTHI" refreshedDate="46095.405726273151" createdVersion="8" refreshedVersion="8" minRefreshableVersion="3" recordCount="40" xr:uid="{07BC437B-34E2-4297-B110-0B173E2D9D8E}">
  <cacheSource type="worksheet">
    <worksheetSource name="Table1" r:id="rId2"/>
  </cacheSource>
  <cacheFields count="24">
    <cacheField name="gender" numFmtId="0">
      <sharedItems count="2">
        <s v="Female"/>
        <s v="Male"/>
      </sharedItems>
    </cacheField>
    <cacheField name="age" numFmtId="0">
      <sharedItems containsSemiMixedTypes="0" containsString="0" containsNumber="1" containsInteger="1" minValue="21" maxValue="35"/>
    </cacheField>
    <cacheField name="Investment_Avenues" numFmtId="0">
      <sharedItems count="2">
        <s v="Yes"/>
        <s v="No"/>
      </sharedItems>
    </cacheField>
    <cacheField name="Mutual_Funds" numFmtId="0">
      <sharedItems containsSemiMixedTypes="0" containsString="0" containsNumber="1" containsInteger="1" minValue="1" maxValue="7"/>
    </cacheField>
    <cacheField name="Equity_Market" numFmtId="0">
      <sharedItems containsSemiMixedTypes="0" containsString="0" containsNumber="1" containsInteger="1" minValue="1" maxValue="6"/>
    </cacheField>
    <cacheField name="Debentures" numFmtId="0">
      <sharedItems containsSemiMixedTypes="0" containsString="0" containsNumber="1" containsInteger="1" minValue="1" maxValue="7"/>
    </cacheField>
    <cacheField name="Government_Bonds" numFmtId="0">
      <sharedItems containsSemiMixedTypes="0" containsString="0" containsNumber="1" containsInteger="1" minValue="1" maxValue="7"/>
    </cacheField>
    <cacheField name="Fixed_Deposits" numFmtId="0">
      <sharedItems containsSemiMixedTypes="0" containsString="0" containsNumber="1" containsInteger="1" minValue="1" maxValue="7"/>
    </cacheField>
    <cacheField name="PPF" numFmtId="0">
      <sharedItems containsSemiMixedTypes="0" containsString="0" containsNumber="1" containsInteger="1" minValue="1" maxValue="6"/>
    </cacheField>
    <cacheField name="Gold" numFmtId="0">
      <sharedItems containsSemiMixedTypes="0" containsString="0" containsNumber="1" containsInteger="1" minValue="2" maxValue="7"/>
    </cacheField>
    <cacheField name="Stock_Marktet" numFmtId="0">
      <sharedItems/>
    </cacheField>
    <cacheField name="Factor" numFmtId="0">
      <sharedItems/>
    </cacheField>
    <cacheField name="Objective" numFmtId="0">
      <sharedItems count="3">
        <s v="Capital Appreciation"/>
        <s v="Income"/>
        <s v="Growth"/>
      </sharedItems>
    </cacheField>
    <cacheField name="Purpose" numFmtId="0">
      <sharedItems/>
    </cacheField>
    <cacheField name="Duration" numFmtId="0">
      <sharedItems/>
    </cacheField>
    <cacheField name="Invest_Monitor" numFmtId="0">
      <sharedItems/>
    </cacheField>
    <cacheField name="Expect" numFmtId="0">
      <sharedItems/>
    </cacheField>
    <cacheField name="Avenue" numFmtId="0">
      <sharedItems/>
    </cacheField>
    <cacheField name="What are your savings objectives?" numFmtId="0">
      <sharedItems/>
    </cacheField>
    <cacheField name="Reason_Equity" numFmtId="0">
      <sharedItems count="3">
        <s v="Capital Appreciation"/>
        <s v="Dividend"/>
        <s v="Liquidity"/>
      </sharedItems>
    </cacheField>
    <cacheField name="Reason_Mutual" numFmtId="0">
      <sharedItems count="3">
        <s v="Better Returns"/>
        <s v="Tax Benefits"/>
        <s v="Fund Diversification"/>
      </sharedItems>
    </cacheField>
    <cacheField name="Reason_Bonds" numFmtId="0">
      <sharedItems count="3">
        <s v="Safe Investment"/>
        <s v="Assured Returns"/>
        <s v="Tax Incentives"/>
      </sharedItems>
    </cacheField>
    <cacheField name="Reason_FD" numFmtId="0">
      <sharedItems count="3">
        <s v="Fixed Returns"/>
        <s v="High Interest Rates"/>
        <s v="Risk Free"/>
      </sharedItems>
    </cacheField>
    <cacheField name="Source" numFmtId="0">
      <sharedItems/>
    </cacheField>
  </cacheFields>
  <extLst>
    <ext xmlns:x14="http://schemas.microsoft.com/office/spreadsheetml/2009/9/main" uri="{725AE2AE-9491-48be-B2B4-4EB974FC3084}">
      <x14:pivotCacheDefinition pivotCacheId="84348590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KEERTHI" refreshedDate="46096.408427083334" createdVersion="8" refreshedVersion="8" minRefreshableVersion="3" recordCount="40" xr:uid="{BC667B38-DF6C-475D-A18A-0E2DD2CB33AE}">
  <cacheSource type="worksheet">
    <worksheetSource name="Table1" r:id="rId2"/>
  </cacheSource>
  <cacheFields count="24">
    <cacheField name="gender" numFmtId="0">
      <sharedItems count="2">
        <s v="Female"/>
        <s v="Male"/>
      </sharedItems>
    </cacheField>
    <cacheField name="age" numFmtId="0">
      <sharedItems containsSemiMixedTypes="0" containsString="0" containsNumber="1" containsInteger="1" minValue="21" maxValue="35" count="14">
        <n v="34"/>
        <n v="23"/>
        <n v="30"/>
        <n v="22"/>
        <n v="24"/>
        <n v="27"/>
        <n v="21"/>
        <n v="35"/>
        <n v="31"/>
        <n v="29"/>
        <n v="28"/>
        <n v="25"/>
        <n v="26"/>
        <n v="32"/>
      </sharedItems>
    </cacheField>
    <cacheField name="Investment_Avenues" numFmtId="0">
      <sharedItems count="2">
        <s v="Yes"/>
        <s v="No"/>
      </sharedItems>
    </cacheField>
    <cacheField name="Mutual_Funds" numFmtId="0">
      <sharedItems containsSemiMixedTypes="0" containsString="0" containsNumber="1" containsInteger="1" minValue="1" maxValue="7"/>
    </cacheField>
    <cacheField name="Equity_Market" numFmtId="0">
      <sharedItems containsSemiMixedTypes="0" containsString="0" containsNumber="1" containsInteger="1" minValue="1" maxValue="6"/>
    </cacheField>
    <cacheField name="Debentures" numFmtId="0">
      <sharedItems containsSemiMixedTypes="0" containsString="0" containsNumber="1" containsInteger="1" minValue="1" maxValue="7"/>
    </cacheField>
    <cacheField name="Government_Bonds" numFmtId="0">
      <sharedItems containsSemiMixedTypes="0" containsString="0" containsNumber="1" containsInteger="1" minValue="1" maxValue="7"/>
    </cacheField>
    <cacheField name="Fixed_Deposits" numFmtId="0">
      <sharedItems containsSemiMixedTypes="0" containsString="0" containsNumber="1" containsInteger="1" minValue="1" maxValue="7"/>
    </cacheField>
    <cacheField name="PPF" numFmtId="0">
      <sharedItems containsSemiMixedTypes="0" containsString="0" containsNumber="1" containsInteger="1" minValue="1" maxValue="6"/>
    </cacheField>
    <cacheField name="Gold" numFmtId="0">
      <sharedItems containsSemiMixedTypes="0" containsString="0" containsNumber="1" containsInteger="1" minValue="2" maxValue="7"/>
    </cacheField>
    <cacheField name="Stock_Marktet" numFmtId="0">
      <sharedItems/>
    </cacheField>
    <cacheField name="Factor" numFmtId="0">
      <sharedItems/>
    </cacheField>
    <cacheField name="Objective" numFmtId="0">
      <sharedItems/>
    </cacheField>
    <cacheField name="Purpose" numFmtId="0">
      <sharedItems/>
    </cacheField>
    <cacheField name="Duration" numFmtId="0">
      <sharedItems/>
    </cacheField>
    <cacheField name="Invest_Monitor" numFmtId="0">
      <sharedItems/>
    </cacheField>
    <cacheField name="Expect" numFmtId="0">
      <sharedItems/>
    </cacheField>
    <cacheField name="Avenue" numFmtId="0">
      <sharedItems/>
    </cacheField>
    <cacheField name="What are your savings objectives?" numFmtId="0">
      <sharedItems count="3">
        <s v="Retirement Plan"/>
        <s v="Health Care"/>
        <s v="Education"/>
      </sharedItems>
    </cacheField>
    <cacheField name="Reason_Equity" numFmtId="0">
      <sharedItems/>
    </cacheField>
    <cacheField name="Reason_Mutual" numFmtId="0">
      <sharedItems/>
    </cacheField>
    <cacheField name="Reason_Bonds" numFmtId="0">
      <sharedItems/>
    </cacheField>
    <cacheField name="Reason_FD" numFmtId="0">
      <sharedItems/>
    </cacheField>
    <cacheField name="Source" numFmtId="0">
      <sharedItems count="4">
        <s v="Newspapers and Magazines"/>
        <s v="Financial Consultants"/>
        <s v="Television"/>
        <s v="Internet"/>
      </sharedItems>
    </cacheField>
  </cacheFields>
  <extLst>
    <ext xmlns:x14="http://schemas.microsoft.com/office/spreadsheetml/2009/9/main" uri="{725AE2AE-9491-48be-B2B4-4EB974FC3084}">
      <x14:pivotCacheDefinition pivotCacheId="1655943584"/>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KEERTHI" refreshedDate="46096.459345254632" createdVersion="8" refreshedVersion="8" minRefreshableVersion="3" recordCount="40" xr:uid="{F99716C4-BF6C-4C59-A2AF-E530E140DCE0}">
  <cacheSource type="worksheet">
    <worksheetSource name="Table1" r:id="rId2"/>
  </cacheSource>
  <cacheFields count="24">
    <cacheField name="gender" numFmtId="0">
      <sharedItems/>
    </cacheField>
    <cacheField name="age" numFmtId="0">
      <sharedItems containsSemiMixedTypes="0" containsString="0" containsNumber="1" containsInteger="1" minValue="21" maxValue="35"/>
    </cacheField>
    <cacheField name="Investment_Avenues" numFmtId="0">
      <sharedItems/>
    </cacheField>
    <cacheField name="Mutual_Funds" numFmtId="0">
      <sharedItems containsSemiMixedTypes="0" containsString="0" containsNumber="1" containsInteger="1" minValue="1" maxValue="7"/>
    </cacheField>
    <cacheField name="Equity_Market" numFmtId="0">
      <sharedItems containsSemiMixedTypes="0" containsString="0" containsNumber="1" containsInteger="1" minValue="1" maxValue="6"/>
    </cacheField>
    <cacheField name="Debentures" numFmtId="0">
      <sharedItems containsSemiMixedTypes="0" containsString="0" containsNumber="1" containsInteger="1" minValue="1" maxValue="7"/>
    </cacheField>
    <cacheField name="Government_Bonds" numFmtId="0">
      <sharedItems containsSemiMixedTypes="0" containsString="0" containsNumber="1" containsInteger="1" minValue="1" maxValue="7"/>
    </cacheField>
    <cacheField name="Fixed_Deposits" numFmtId="0">
      <sharedItems containsSemiMixedTypes="0" containsString="0" containsNumber="1" containsInteger="1" minValue="1" maxValue="7"/>
    </cacheField>
    <cacheField name="PPF" numFmtId="0">
      <sharedItems containsSemiMixedTypes="0" containsString="0" containsNumber="1" containsInteger="1" minValue="1" maxValue="6"/>
    </cacheField>
    <cacheField name="Gold" numFmtId="0">
      <sharedItems containsSemiMixedTypes="0" containsString="0" containsNumber="1" containsInteger="1" minValue="2" maxValue="7"/>
    </cacheField>
    <cacheField name="Stock_Marktet" numFmtId="0">
      <sharedItems/>
    </cacheField>
    <cacheField name="Factor" numFmtId="0">
      <sharedItems/>
    </cacheField>
    <cacheField name="Objective" numFmtId="0">
      <sharedItems/>
    </cacheField>
    <cacheField name="Purpose" numFmtId="0">
      <sharedItems/>
    </cacheField>
    <cacheField name="Duration" numFmtId="0">
      <sharedItems count="4">
        <s v="1-3 years"/>
        <s v="More than 5 years"/>
        <s v="3-5 years"/>
        <s v="Less than 1 year"/>
      </sharedItems>
    </cacheField>
    <cacheField name="Invest_Monitor" numFmtId="0">
      <sharedItems/>
    </cacheField>
    <cacheField name="Expect" numFmtId="0">
      <sharedItems count="3">
        <s v="20%-30%"/>
        <s v="10%-20%"/>
        <s v="30%-40%"/>
      </sharedItems>
    </cacheField>
    <cacheField name="Avenue" numFmtId="0">
      <sharedItems/>
    </cacheField>
    <cacheField name="What are your savings objectives?" numFmtId="0">
      <sharedItems/>
    </cacheField>
    <cacheField name="Reason_Equity" numFmtId="0">
      <sharedItems/>
    </cacheField>
    <cacheField name="Reason_Mutual" numFmtId="0">
      <sharedItems/>
    </cacheField>
    <cacheField name="Reason_Bonds" numFmtId="0">
      <sharedItems/>
    </cacheField>
    <cacheField name="Reason_FD" numFmtId="0">
      <sharedItems/>
    </cacheField>
    <cacheField name="Sourc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n v="34"/>
    <s v="Yes"/>
    <n v="1"/>
    <n v="2"/>
    <n v="5"/>
    <n v="3"/>
    <n v="7"/>
    <n v="6"/>
    <n v="4"/>
    <s v="Yes"/>
    <s v="Returns"/>
    <s v="Capital Appreciation"/>
    <s v="Wealth Creation"/>
    <s v="1-3 years"/>
    <s v="Monthly"/>
    <s v="20%-30%"/>
    <s v="Mutual Fund"/>
    <s v="Retirement Plan"/>
    <s v="Capital Appreciation"/>
    <s v="Better Returns"/>
    <s v="Safe Investment"/>
    <s v="Fixed Returns"/>
    <s v="Newspapers and Magazines"/>
  </r>
  <r>
    <x v="0"/>
    <n v="23"/>
    <s v="Yes"/>
    <n v="4"/>
    <n v="3"/>
    <n v="2"/>
    <n v="1"/>
    <n v="5"/>
    <n v="6"/>
    <n v="7"/>
    <s v="No"/>
    <s v="Locking Period"/>
    <s v="Capital Appreciation"/>
    <s v="Wealth Creation"/>
    <s v="More than 5 years"/>
    <s v="Weekly"/>
    <s v="20%-30%"/>
    <s v="Mutual Fund"/>
    <s v="Health Care"/>
    <s v="Dividend"/>
    <s v="Better Returns"/>
    <s v="Safe Investment"/>
    <s v="High Interest Rates"/>
    <s v="Financial Consultants"/>
  </r>
  <r>
    <x v="1"/>
    <n v="30"/>
    <s v="Yes"/>
    <n v="3"/>
    <n v="6"/>
    <n v="4"/>
    <n v="2"/>
    <n v="5"/>
    <n v="1"/>
    <n v="7"/>
    <s v="Yes"/>
    <s v="Returns"/>
    <s v="Capital Appreciation"/>
    <s v="Wealth Creation"/>
    <s v="3-5 years"/>
    <s v="Daily"/>
    <s v="20%-30%"/>
    <s v="Equity"/>
    <s v="Retirement Plan"/>
    <s v="Capital Appreciation"/>
    <s v="Tax Benefits"/>
    <s v="Assured Returns"/>
    <s v="Fixed Returns"/>
    <s v="Television"/>
  </r>
  <r>
    <x v="1"/>
    <n v="22"/>
    <s v="Yes"/>
    <n v="2"/>
    <n v="1"/>
    <n v="3"/>
    <n v="7"/>
    <n v="6"/>
    <n v="4"/>
    <n v="5"/>
    <s v="Yes"/>
    <s v="Returns"/>
    <s v="Income"/>
    <s v="Wealth Creation"/>
    <s v="Less than 1 year"/>
    <s v="Daily"/>
    <s v="10%-20%"/>
    <s v="Equity"/>
    <s v="Retirement Plan"/>
    <s v="Dividend"/>
    <s v="Fund Diversification"/>
    <s v="Tax Incentives"/>
    <s v="High Interest Rates"/>
    <s v="Internet"/>
  </r>
  <r>
    <x v="0"/>
    <n v="24"/>
    <s v="No"/>
    <n v="2"/>
    <n v="1"/>
    <n v="3"/>
    <n v="6"/>
    <n v="4"/>
    <n v="5"/>
    <n v="7"/>
    <s v="No"/>
    <s v="Returns"/>
    <s v="Income"/>
    <s v="Wealth Creation"/>
    <s v="Less than 1 year"/>
    <s v="Daily"/>
    <s v="20%-30%"/>
    <s v="Equity"/>
    <s v="Retirement Plan"/>
    <s v="Capital Appreciation"/>
    <s v="Better Returns"/>
    <s v="Safe Investment"/>
    <s v="Risk Free"/>
    <s v="Internet"/>
  </r>
  <r>
    <x v="0"/>
    <n v="24"/>
    <s v="No"/>
    <n v="7"/>
    <n v="5"/>
    <n v="4"/>
    <n v="6"/>
    <n v="3"/>
    <n v="1"/>
    <n v="2"/>
    <s v="No"/>
    <s v="Risk"/>
    <s v="Capital Appreciation"/>
    <s v="Wealth Creation"/>
    <s v="1-3 years"/>
    <s v="Daily"/>
    <s v="30%-40%"/>
    <s v="Mutual Fund"/>
    <s v="Retirement Plan"/>
    <s v="Liquidity"/>
    <s v="Fund Diversification"/>
    <s v="Safe Investment"/>
    <s v="Risk Free"/>
    <s v="Internet"/>
  </r>
  <r>
    <x v="0"/>
    <n v="27"/>
    <s v="Yes"/>
    <n v="3"/>
    <n v="6"/>
    <n v="4"/>
    <n v="2"/>
    <n v="5"/>
    <n v="1"/>
    <n v="7"/>
    <s v="Yes"/>
    <s v="Returns"/>
    <s v="Capital Appreciation"/>
    <s v="Wealth Creation"/>
    <s v="3-5 years"/>
    <s v="Monthly"/>
    <s v="20%-30%"/>
    <s v="Equity"/>
    <s v="Retirement Plan"/>
    <s v="Capital Appreciation"/>
    <s v="Better Returns"/>
    <s v="Assured Returns"/>
    <s v="High Interest Rates"/>
    <s v="Financial Consultants"/>
  </r>
  <r>
    <x v="1"/>
    <n v="21"/>
    <s v="Yes"/>
    <n v="2"/>
    <n v="3"/>
    <n v="7"/>
    <n v="4"/>
    <n v="6"/>
    <n v="1"/>
    <n v="5"/>
    <s v="Yes"/>
    <s v="Risk"/>
    <s v="Capital Appreciation"/>
    <s v="Wealth Creation"/>
    <s v="3-5 years"/>
    <s v="Monthly"/>
    <s v="20%-30%"/>
    <s v="Mutual Fund"/>
    <s v="Retirement Plan"/>
    <s v="Capital Appreciation"/>
    <s v="Better Returns"/>
    <s v="Assured Returns"/>
    <s v="Risk Free"/>
    <s v="Newspapers and Magazines"/>
  </r>
  <r>
    <x v="1"/>
    <n v="35"/>
    <s v="Yes"/>
    <n v="2"/>
    <n v="4"/>
    <n v="7"/>
    <n v="5"/>
    <n v="3"/>
    <n v="1"/>
    <n v="6"/>
    <s v="Yes"/>
    <s v="Returns"/>
    <s v="Growth"/>
    <s v="Savings for Future"/>
    <s v="1-3 years"/>
    <s v="Weekly"/>
    <s v="20%-30%"/>
    <s v="Equity"/>
    <s v="Retirement Plan"/>
    <s v="Capital Appreciation"/>
    <s v="Fund Diversification"/>
    <s v="Safe Investment"/>
    <s v="Fixed Returns"/>
    <s v="Television"/>
  </r>
  <r>
    <x v="1"/>
    <n v="31"/>
    <s v="Yes"/>
    <n v="1"/>
    <n v="3"/>
    <n v="7"/>
    <n v="4"/>
    <n v="5"/>
    <n v="2"/>
    <n v="6"/>
    <s v="Yes"/>
    <s v="Returns"/>
    <s v="Capital Appreciation"/>
    <s v="Wealth Creation"/>
    <s v="3-5 years"/>
    <s v="Monthly"/>
    <s v="30%-40%"/>
    <s v="Fixed Deposits"/>
    <s v="Retirement Plan"/>
    <s v="Capital Appreciation"/>
    <s v="Fund Diversification"/>
    <s v="Assured Returns"/>
    <s v="Fixed Returns"/>
    <s v="Newspapers and Magazines"/>
  </r>
  <r>
    <x v="0"/>
    <n v="35"/>
    <s v="Yes"/>
    <n v="2"/>
    <n v="4"/>
    <n v="7"/>
    <n v="5"/>
    <n v="3"/>
    <n v="1"/>
    <n v="6"/>
    <s v="Yes"/>
    <s v="Risk"/>
    <s v="Growth"/>
    <s v="Savings for Future"/>
    <s v="3-5 years"/>
    <s v="Monthly"/>
    <s v="20%-30%"/>
    <s v="Mutual Fund"/>
    <s v="Retirement Plan"/>
    <s v="Capital Appreciation"/>
    <s v="Better Returns"/>
    <s v="Assured Returns"/>
    <s v="Risk Free"/>
    <s v="Financial Consultants"/>
  </r>
  <r>
    <x v="1"/>
    <n v="29"/>
    <s v="Yes"/>
    <n v="2"/>
    <n v="5"/>
    <n v="7"/>
    <n v="6"/>
    <n v="3"/>
    <n v="1"/>
    <n v="4"/>
    <s v="Yes"/>
    <s v="Risk"/>
    <s v="Capital Appreciation"/>
    <s v="Wealth Creation"/>
    <s v="1-3 years"/>
    <s v="Monthly"/>
    <s v="20%-30%"/>
    <s v="Mutual Fund"/>
    <s v="Retirement Plan"/>
    <s v="Capital Appreciation"/>
    <s v="Fund Diversification"/>
    <s v="Assured Returns"/>
    <s v="Fixed Returns"/>
    <s v="Financial Consultants"/>
  </r>
  <r>
    <x v="0"/>
    <n v="21"/>
    <s v="No"/>
    <n v="1"/>
    <n v="2"/>
    <n v="3"/>
    <n v="4"/>
    <n v="5"/>
    <n v="6"/>
    <n v="7"/>
    <s v="No"/>
    <s v="Returns"/>
    <s v="Capital Appreciation"/>
    <s v="Savings for Future"/>
    <s v="1-3 years"/>
    <s v="Weekly"/>
    <s v="20%-30%"/>
    <s v="Mutual Fund"/>
    <s v="Education"/>
    <s v="Dividend"/>
    <s v="Better Returns"/>
    <s v="Safe Investment"/>
    <s v="Risk Free"/>
    <s v="Internet"/>
  </r>
  <r>
    <x v="0"/>
    <n v="28"/>
    <s v="Yes"/>
    <n v="2"/>
    <n v="3"/>
    <n v="7"/>
    <n v="4"/>
    <n v="5"/>
    <n v="1"/>
    <n v="6"/>
    <s v="Yes"/>
    <s v="Returns"/>
    <s v="Capital Appreciation"/>
    <s v="Wealth Creation"/>
    <s v="1-3 years"/>
    <s v="Monthly"/>
    <s v="20%-30%"/>
    <s v="Mutual Fund"/>
    <s v="Retirement Plan"/>
    <s v="Capital Appreciation"/>
    <s v="Fund Diversification"/>
    <s v="Assured Returns"/>
    <s v="Risk Free"/>
    <s v="Newspapers and Magazines"/>
  </r>
  <r>
    <x v="0"/>
    <n v="25"/>
    <s v="Yes"/>
    <n v="2"/>
    <n v="3"/>
    <n v="7"/>
    <n v="5"/>
    <n v="4"/>
    <n v="1"/>
    <n v="6"/>
    <s v="Yes"/>
    <s v="Returns"/>
    <s v="Capital Appreciation"/>
    <s v="Wealth Creation"/>
    <s v="1-3 years"/>
    <s v="Monthly"/>
    <s v="20%-30%"/>
    <s v="Fixed Deposits"/>
    <s v="Health Care"/>
    <s v="Dividend"/>
    <s v="Better Returns"/>
    <s v="Assured Returns"/>
    <s v="Risk Free"/>
    <s v="Financial Consultants"/>
  </r>
  <r>
    <x v="1"/>
    <n v="27"/>
    <s v="Yes"/>
    <n v="2"/>
    <n v="3"/>
    <n v="7"/>
    <n v="5"/>
    <n v="4"/>
    <n v="1"/>
    <n v="6"/>
    <s v="Yes"/>
    <s v="Returns"/>
    <s v="Capital Appreciation"/>
    <s v="Wealth Creation"/>
    <s v="1-3 years"/>
    <s v="Monthly"/>
    <s v="20%-30%"/>
    <s v="Mutual Fund"/>
    <s v="Health Care"/>
    <s v="Capital Appreciation"/>
    <s v="Fund Diversification"/>
    <s v="Assured Returns"/>
    <s v="Risk Free"/>
    <s v="Newspapers and Magazines"/>
  </r>
  <r>
    <x v="0"/>
    <n v="28"/>
    <s v="Yes"/>
    <n v="3"/>
    <n v="2"/>
    <n v="7"/>
    <n v="5"/>
    <n v="4"/>
    <n v="1"/>
    <n v="6"/>
    <s v="Yes"/>
    <s v="Risk"/>
    <s v="Growth"/>
    <s v="Wealth Creation"/>
    <s v="1-3 years"/>
    <s v="Monthly"/>
    <s v="20%-30%"/>
    <s v="Fixed Deposits"/>
    <s v="Health Care"/>
    <s v="Capital Appreciation"/>
    <s v="Fund Diversification"/>
    <s v="Assured Returns"/>
    <s v="Risk Free"/>
    <s v="Television"/>
  </r>
  <r>
    <x v="1"/>
    <n v="27"/>
    <s v="Yes"/>
    <n v="3"/>
    <n v="2"/>
    <n v="7"/>
    <n v="4"/>
    <n v="5"/>
    <n v="1"/>
    <n v="6"/>
    <s v="Yes"/>
    <s v="Returns"/>
    <s v="Capital Appreciation"/>
    <s v="Wealth Creation"/>
    <s v="1-3 years"/>
    <s v="Monthly"/>
    <s v="20%-30%"/>
    <s v="Mutual Fund"/>
    <s v="Retirement Plan"/>
    <s v="Capital Appreciation"/>
    <s v="Better Returns"/>
    <s v="Assured Returns"/>
    <s v="Risk Free"/>
    <s v="Financial Consultants"/>
  </r>
  <r>
    <x v="1"/>
    <n v="29"/>
    <s v="Yes"/>
    <n v="3"/>
    <n v="2"/>
    <n v="7"/>
    <n v="4"/>
    <n v="5"/>
    <n v="1"/>
    <n v="6"/>
    <s v="Yes"/>
    <s v="Risk"/>
    <s v="Capital Appreciation"/>
    <s v="Wealth Creation"/>
    <s v="1-3 years"/>
    <s v="Monthly"/>
    <s v="20%-30%"/>
    <s v="Mutual Fund"/>
    <s v="Retirement Plan"/>
    <s v="Capital Appreciation"/>
    <s v="Better Returns"/>
    <s v="Assured Returns"/>
    <s v="Risk Free"/>
    <s v="Newspapers and Magazines"/>
  </r>
  <r>
    <x v="1"/>
    <n v="26"/>
    <s v="Yes"/>
    <n v="3"/>
    <n v="4"/>
    <n v="6"/>
    <n v="5"/>
    <n v="1"/>
    <n v="2"/>
    <n v="7"/>
    <s v="Yes"/>
    <s v="Risk"/>
    <s v="Capital Appreciation"/>
    <s v="Wealth Creation"/>
    <s v="3-5 years"/>
    <s v="Monthly"/>
    <s v="20%-30%"/>
    <s v="Fixed Deposits"/>
    <s v="Health Care"/>
    <s v="Capital Appreciation"/>
    <s v="Fund Diversification"/>
    <s v="Assured Returns"/>
    <s v="Risk Free"/>
    <s v="Newspapers and Magazines"/>
  </r>
  <r>
    <x v="1"/>
    <n v="29"/>
    <s v="Yes"/>
    <n v="2"/>
    <n v="4"/>
    <n v="7"/>
    <n v="5"/>
    <n v="3"/>
    <n v="1"/>
    <n v="6"/>
    <s v="Yes"/>
    <s v="Returns"/>
    <s v="Growth"/>
    <s v="Wealth Creation"/>
    <s v="3-5 years"/>
    <s v="Weekly"/>
    <s v="20%-30%"/>
    <s v="Mutual Fund"/>
    <s v="Retirement Plan"/>
    <s v="Capital Appreciation"/>
    <s v="Better Returns"/>
    <s v="Assured Returns"/>
    <s v="Fixed Returns"/>
    <s v="Financial Consultants"/>
  </r>
  <r>
    <x v="0"/>
    <n v="24"/>
    <s v="Yes"/>
    <n v="2"/>
    <n v="4"/>
    <n v="5"/>
    <n v="6"/>
    <n v="3"/>
    <n v="1"/>
    <n v="7"/>
    <s v="Yes"/>
    <s v="Risk"/>
    <s v="Capital Appreciation"/>
    <s v="Wealth Creation"/>
    <s v="3-5 years"/>
    <s v="Monthly"/>
    <s v="20%-30%"/>
    <s v="Equity"/>
    <s v="Health Care"/>
    <s v="Capital Appreciation"/>
    <s v="Better Returns"/>
    <s v="Assured Returns"/>
    <s v="Risk Free"/>
    <s v="Newspapers and Magazines"/>
  </r>
  <r>
    <x v="1"/>
    <n v="27"/>
    <s v="Yes"/>
    <n v="3"/>
    <n v="4"/>
    <n v="6"/>
    <n v="5"/>
    <n v="2"/>
    <n v="1"/>
    <n v="7"/>
    <s v="Yes"/>
    <s v="Returns"/>
    <s v="Capital Appreciation"/>
    <s v="Wealth Creation"/>
    <s v="3-5 years"/>
    <s v="Monthly"/>
    <s v="20%-30%"/>
    <s v="Mutual Fund"/>
    <s v="Retirement Plan"/>
    <s v="Capital Appreciation"/>
    <s v="Better Returns"/>
    <s v="Assured Returns"/>
    <s v="Risk Free"/>
    <s v="Financial Consultants"/>
  </r>
  <r>
    <x v="1"/>
    <n v="25"/>
    <s v="Yes"/>
    <n v="2"/>
    <n v="4"/>
    <n v="6"/>
    <n v="5"/>
    <n v="3"/>
    <n v="1"/>
    <n v="7"/>
    <s v="Yes"/>
    <s v="Risk"/>
    <s v="Growth"/>
    <s v="Savings for Future"/>
    <s v="3-5 years"/>
    <s v="Weekly"/>
    <s v="20%-30%"/>
    <s v="Public Provident Fund"/>
    <s v="Health Care"/>
    <s v="Liquidity"/>
    <s v="Better Returns"/>
    <s v="Assured Returns"/>
    <s v="Risk Free"/>
    <s v="Financial Consultants"/>
  </r>
  <r>
    <x v="0"/>
    <n v="26"/>
    <s v="Yes"/>
    <n v="2"/>
    <n v="3"/>
    <n v="7"/>
    <n v="5"/>
    <n v="4"/>
    <n v="1"/>
    <n v="6"/>
    <s v="Yes"/>
    <s v="Returns"/>
    <s v="Capital Appreciation"/>
    <s v="Wealth Creation"/>
    <s v="3-5 years"/>
    <s v="Monthly"/>
    <s v="30%-40%"/>
    <s v="Public Provident Fund"/>
    <s v="Retirement Plan"/>
    <s v="Capital Appreciation"/>
    <s v="Better Returns"/>
    <s v="Assured Returns"/>
    <s v="Risk Free"/>
    <s v="Newspapers and Magazines"/>
  </r>
  <r>
    <x v="0"/>
    <n v="32"/>
    <s v="Yes"/>
    <n v="3"/>
    <n v="4"/>
    <n v="7"/>
    <n v="5"/>
    <n v="1"/>
    <n v="2"/>
    <n v="6"/>
    <s v="Yes"/>
    <s v="Risk"/>
    <s v="Growth"/>
    <s v="Wealth Creation"/>
    <s v="3-5 years"/>
    <s v="Monthly"/>
    <s v="20%-30%"/>
    <s v="Mutual Fund"/>
    <s v="Retirement Plan"/>
    <s v="Capital Appreciation"/>
    <s v="Better Returns"/>
    <s v="Assured Returns"/>
    <s v="Fixed Returns"/>
    <s v="Financial Consultants"/>
  </r>
  <r>
    <x v="1"/>
    <n v="26"/>
    <s v="Yes"/>
    <n v="3"/>
    <n v="4"/>
    <n v="6"/>
    <n v="5"/>
    <n v="1"/>
    <n v="2"/>
    <n v="7"/>
    <s v="Yes"/>
    <s v="Returns"/>
    <s v="Capital Appreciation"/>
    <s v="Wealth Creation"/>
    <s v="3-5 years"/>
    <s v="Monthly"/>
    <s v="20%-30%"/>
    <s v="Mutual Fund"/>
    <s v="Retirement Plan"/>
    <s v="Dividend"/>
    <s v="Fund Diversification"/>
    <s v="Assured Returns"/>
    <s v="Fixed Returns"/>
    <s v="Financial Consultants"/>
  </r>
  <r>
    <x v="1"/>
    <n v="31"/>
    <s v="Yes"/>
    <n v="2"/>
    <n v="3"/>
    <n v="7"/>
    <n v="6"/>
    <n v="4"/>
    <n v="1"/>
    <n v="5"/>
    <s v="Yes"/>
    <s v="Risk"/>
    <s v="Growth"/>
    <s v="Savings for Future"/>
    <s v="1-3 years"/>
    <s v="Monthly"/>
    <s v="20%-30%"/>
    <s v="Fixed Deposits"/>
    <s v="Health Care"/>
    <s v="Capital Appreciation"/>
    <s v="Fund Diversification"/>
    <s v="Safe Investment"/>
    <s v="Fixed Returns"/>
    <s v="Television"/>
  </r>
  <r>
    <x v="1"/>
    <n v="29"/>
    <s v="Yes"/>
    <n v="2"/>
    <n v="3"/>
    <n v="6"/>
    <n v="5"/>
    <n v="1"/>
    <n v="4"/>
    <n v="7"/>
    <s v="Yes"/>
    <s v="Returns"/>
    <s v="Capital Appreciation"/>
    <s v="Wealth Creation"/>
    <s v="1-3 years"/>
    <s v="Monthly"/>
    <s v="20%-30%"/>
    <s v="Equity"/>
    <s v="Retirement Plan"/>
    <s v="Capital Appreciation"/>
    <s v="Better Returns"/>
    <s v="Assured Returns"/>
    <s v="Risk Free"/>
    <s v="Television"/>
  </r>
  <r>
    <x v="0"/>
    <n v="34"/>
    <s v="Yes"/>
    <n v="5"/>
    <n v="4"/>
    <n v="3"/>
    <n v="2"/>
    <n v="7"/>
    <n v="1"/>
    <n v="6"/>
    <s v="Yes"/>
    <s v="Returns"/>
    <s v="Income"/>
    <s v="Returns"/>
    <s v="3-5 years"/>
    <s v="Monthly"/>
    <s v="10%-20%"/>
    <s v="Mutual Fund"/>
    <s v="Retirement Plan"/>
    <s v="Capital Appreciation"/>
    <s v="Tax Benefits"/>
    <s v="Safe Investment"/>
    <s v="Fixed Returns"/>
    <s v="Newspapers and Magazines"/>
  </r>
  <r>
    <x v="1"/>
    <n v="27"/>
    <s v="Yes"/>
    <n v="4"/>
    <n v="5"/>
    <n v="1"/>
    <n v="2"/>
    <n v="7"/>
    <n v="3"/>
    <n v="6"/>
    <s v="No"/>
    <s v="Returns"/>
    <s v="Growth"/>
    <s v="Wealth Creation"/>
    <s v="1-3 years"/>
    <s v="Monthly"/>
    <s v="10%-20%"/>
    <s v="Mutual Fund"/>
    <s v="Education"/>
    <s v="Capital Appreciation"/>
    <s v="Tax Benefits"/>
    <s v="Safe Investment"/>
    <s v="Fixed Returns"/>
    <s v="Television"/>
  </r>
  <r>
    <x v="0"/>
    <n v="31"/>
    <s v="Yes"/>
    <n v="2"/>
    <n v="4"/>
    <n v="7"/>
    <n v="6"/>
    <n v="3"/>
    <n v="1"/>
    <n v="5"/>
    <s v="Yes"/>
    <s v="Returns"/>
    <s v="Capital Appreciation"/>
    <s v="Wealth Creation"/>
    <s v="3-5 years"/>
    <s v="Monthly"/>
    <s v="20%-30%"/>
    <s v="Fixed Deposits"/>
    <s v="Retirement Plan"/>
    <s v="Capital Appreciation"/>
    <s v="Better Returns"/>
    <s v="Assured Returns"/>
    <s v="Fixed Returns"/>
    <s v="Financial Consultants"/>
  </r>
  <r>
    <x v="1"/>
    <n v="27"/>
    <s v="Yes"/>
    <n v="2"/>
    <n v="4"/>
    <n v="7"/>
    <n v="5"/>
    <n v="1"/>
    <n v="3"/>
    <n v="6"/>
    <s v="Yes"/>
    <s v="Returns"/>
    <s v="Capital Appreciation"/>
    <s v="Wealth Creation"/>
    <s v="3-5 years"/>
    <s v="Monthly"/>
    <s v="30%-40%"/>
    <s v="Equity"/>
    <s v="Health Care"/>
    <s v="Capital Appreciation"/>
    <s v="Fund Diversification"/>
    <s v="Assured Returns"/>
    <s v="Fixed Returns"/>
    <s v="Newspapers and Magazines"/>
  </r>
  <r>
    <x v="1"/>
    <n v="26"/>
    <s v="Yes"/>
    <n v="2"/>
    <n v="3"/>
    <n v="6"/>
    <n v="4"/>
    <n v="1"/>
    <n v="5"/>
    <n v="7"/>
    <s v="Yes"/>
    <s v="Returns"/>
    <s v="Capital Appreciation"/>
    <s v="Returns"/>
    <s v="1-3 years"/>
    <s v="Monthly"/>
    <s v="20%-30%"/>
    <s v="Fixed Deposits"/>
    <s v="Education"/>
    <s v="Dividend"/>
    <s v="Better Returns"/>
    <s v="Safe Investment"/>
    <s v="Risk Free"/>
    <s v="Newspapers and Magazines"/>
  </r>
  <r>
    <x v="1"/>
    <n v="27"/>
    <s v="Yes"/>
    <n v="2"/>
    <n v="3"/>
    <n v="6"/>
    <n v="5"/>
    <n v="4"/>
    <n v="1"/>
    <n v="7"/>
    <s v="Yes"/>
    <s v="Returns"/>
    <s v="Capital Appreciation"/>
    <s v="Wealth Creation"/>
    <s v="1-3 years"/>
    <s v="Weekly"/>
    <s v="20%-30%"/>
    <s v="Mutual Fund"/>
    <s v="Health Care"/>
    <s v="Capital Appreciation"/>
    <s v="Better Returns"/>
    <s v="Safe Investment"/>
    <s v="Fixed Returns"/>
    <s v="Financial Consultants"/>
  </r>
  <r>
    <x v="1"/>
    <n v="30"/>
    <s v="Yes"/>
    <n v="1"/>
    <n v="4"/>
    <n v="6"/>
    <n v="5"/>
    <n v="3"/>
    <n v="2"/>
    <n v="7"/>
    <s v="Yes"/>
    <s v="Risk"/>
    <s v="Growth"/>
    <s v="Wealth Creation"/>
    <s v="3-5 years"/>
    <s v="Monthly"/>
    <s v="20%-30%"/>
    <s v="Fixed Deposits"/>
    <s v="Health Care"/>
    <s v="Capital Appreciation"/>
    <s v="Better Returns"/>
    <s v="Assured Returns"/>
    <s v="Fixed Returns"/>
    <s v="Financial Consultants"/>
  </r>
  <r>
    <x v="1"/>
    <n v="30"/>
    <s v="Yes"/>
    <n v="2"/>
    <n v="4"/>
    <n v="7"/>
    <n v="5"/>
    <n v="1"/>
    <n v="3"/>
    <n v="6"/>
    <s v="Yes"/>
    <s v="Returns"/>
    <s v="Capital Appreciation"/>
    <s v="Wealth Creation"/>
    <s v="1-3 years"/>
    <s v="Monthly"/>
    <s v="20%-30%"/>
    <s v="Equity"/>
    <s v="Retirement Plan"/>
    <s v="Capital Appreciation"/>
    <s v="Better Returns"/>
    <s v="Assured Returns"/>
    <s v="Risk Free"/>
    <s v="Newspapers and Magazines"/>
  </r>
  <r>
    <x v="1"/>
    <n v="25"/>
    <s v="Yes"/>
    <n v="5"/>
    <n v="4"/>
    <n v="7"/>
    <n v="6"/>
    <n v="1"/>
    <n v="2"/>
    <n v="3"/>
    <s v="Yes"/>
    <s v="Risk"/>
    <s v="Growth"/>
    <s v="Savings for Future"/>
    <s v="3-5 years"/>
    <s v="Monthly"/>
    <s v="30%-40%"/>
    <s v="Public Provident Fund"/>
    <s v="Health Care"/>
    <s v="Capital Appreciation"/>
    <s v="Better Returns"/>
    <s v="Safe Investment"/>
    <s v="Fixed Returns"/>
    <s v="Financial Consultants"/>
  </r>
  <r>
    <x v="1"/>
    <n v="31"/>
    <s v="Yes"/>
    <n v="2"/>
    <n v="4"/>
    <n v="7"/>
    <n v="5"/>
    <n v="3"/>
    <n v="1"/>
    <n v="6"/>
    <s v="Yes"/>
    <s v="Risk"/>
    <s v="Growth"/>
    <s v="Wealth Creation"/>
    <s v="1-3 years"/>
    <s v="Weekly"/>
    <s v="20%-30%"/>
    <s v="Equity"/>
    <s v="Health Care"/>
    <s v="Dividend"/>
    <s v="Fund Diversification"/>
    <s v="Assured Returns"/>
    <s v="Fixed Returns"/>
    <s v="Newspapers and Magazines"/>
  </r>
  <r>
    <x v="1"/>
    <n v="29"/>
    <s v="Yes"/>
    <n v="4"/>
    <n v="3"/>
    <n v="5"/>
    <n v="7"/>
    <n v="2"/>
    <n v="1"/>
    <n v="6"/>
    <s v="Yes"/>
    <s v="Returns"/>
    <s v="Capital Appreciation"/>
    <s v="Wealth Creation"/>
    <s v="3-5 years"/>
    <s v="Monthly"/>
    <s v="20%-30%"/>
    <s v="Fixed Deposits"/>
    <s v="Retirement Plan"/>
    <s v="Dividend"/>
    <s v="Better Returns"/>
    <s v="Safe Investment"/>
    <s v="Fixed Returns"/>
    <s v="Financial Consultant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n v="34"/>
    <x v="0"/>
    <n v="1"/>
    <n v="2"/>
    <n v="5"/>
    <n v="3"/>
    <n v="7"/>
    <n v="6"/>
    <n v="4"/>
    <s v="Yes"/>
    <s v="Returns"/>
    <x v="0"/>
    <s v="Wealth Creation"/>
    <s v="1-3 years"/>
    <s v="Monthly"/>
    <s v="20%-30%"/>
    <s v="Mutual Fund"/>
    <s v="Retirement Plan"/>
    <x v="0"/>
    <x v="0"/>
    <x v="0"/>
    <x v="0"/>
    <s v="Newspapers and Magazines"/>
  </r>
  <r>
    <x v="0"/>
    <n v="23"/>
    <x v="0"/>
    <n v="4"/>
    <n v="3"/>
    <n v="2"/>
    <n v="1"/>
    <n v="5"/>
    <n v="6"/>
    <n v="7"/>
    <s v="No"/>
    <s v="Locking Period"/>
    <x v="0"/>
    <s v="Wealth Creation"/>
    <s v="More than 5 years"/>
    <s v="Weekly"/>
    <s v="20%-30%"/>
    <s v="Mutual Fund"/>
    <s v="Health Care"/>
    <x v="1"/>
    <x v="0"/>
    <x v="0"/>
    <x v="1"/>
    <s v="Financial Consultants"/>
  </r>
  <r>
    <x v="1"/>
    <n v="30"/>
    <x v="0"/>
    <n v="3"/>
    <n v="6"/>
    <n v="4"/>
    <n v="2"/>
    <n v="5"/>
    <n v="1"/>
    <n v="7"/>
    <s v="Yes"/>
    <s v="Returns"/>
    <x v="0"/>
    <s v="Wealth Creation"/>
    <s v="3-5 years"/>
    <s v="Daily"/>
    <s v="20%-30%"/>
    <s v="Equity"/>
    <s v="Retirement Plan"/>
    <x v="0"/>
    <x v="1"/>
    <x v="1"/>
    <x v="0"/>
    <s v="Television"/>
  </r>
  <r>
    <x v="1"/>
    <n v="22"/>
    <x v="0"/>
    <n v="2"/>
    <n v="1"/>
    <n v="3"/>
    <n v="7"/>
    <n v="6"/>
    <n v="4"/>
    <n v="5"/>
    <s v="Yes"/>
    <s v="Returns"/>
    <x v="1"/>
    <s v="Wealth Creation"/>
    <s v="Less than 1 year"/>
    <s v="Daily"/>
    <s v="10%-20%"/>
    <s v="Equity"/>
    <s v="Retirement Plan"/>
    <x v="1"/>
    <x v="2"/>
    <x v="2"/>
    <x v="1"/>
    <s v="Internet"/>
  </r>
  <r>
    <x v="0"/>
    <n v="24"/>
    <x v="1"/>
    <n v="2"/>
    <n v="1"/>
    <n v="3"/>
    <n v="6"/>
    <n v="4"/>
    <n v="5"/>
    <n v="7"/>
    <s v="No"/>
    <s v="Returns"/>
    <x v="1"/>
    <s v="Wealth Creation"/>
    <s v="Less than 1 year"/>
    <s v="Daily"/>
    <s v="20%-30%"/>
    <s v="Equity"/>
    <s v="Retirement Plan"/>
    <x v="0"/>
    <x v="0"/>
    <x v="0"/>
    <x v="2"/>
    <s v="Internet"/>
  </r>
  <r>
    <x v="0"/>
    <n v="24"/>
    <x v="1"/>
    <n v="7"/>
    <n v="5"/>
    <n v="4"/>
    <n v="6"/>
    <n v="3"/>
    <n v="1"/>
    <n v="2"/>
    <s v="No"/>
    <s v="Risk"/>
    <x v="0"/>
    <s v="Wealth Creation"/>
    <s v="1-3 years"/>
    <s v="Daily"/>
    <s v="30%-40%"/>
    <s v="Mutual Fund"/>
    <s v="Retirement Plan"/>
    <x v="2"/>
    <x v="2"/>
    <x v="0"/>
    <x v="2"/>
    <s v="Internet"/>
  </r>
  <r>
    <x v="0"/>
    <n v="27"/>
    <x v="0"/>
    <n v="3"/>
    <n v="6"/>
    <n v="4"/>
    <n v="2"/>
    <n v="5"/>
    <n v="1"/>
    <n v="7"/>
    <s v="Yes"/>
    <s v="Returns"/>
    <x v="0"/>
    <s v="Wealth Creation"/>
    <s v="3-5 years"/>
    <s v="Monthly"/>
    <s v="20%-30%"/>
    <s v="Equity"/>
    <s v="Retirement Plan"/>
    <x v="0"/>
    <x v="0"/>
    <x v="1"/>
    <x v="1"/>
    <s v="Financial Consultants"/>
  </r>
  <r>
    <x v="1"/>
    <n v="21"/>
    <x v="0"/>
    <n v="2"/>
    <n v="3"/>
    <n v="7"/>
    <n v="4"/>
    <n v="6"/>
    <n v="1"/>
    <n v="5"/>
    <s v="Yes"/>
    <s v="Risk"/>
    <x v="0"/>
    <s v="Wealth Creation"/>
    <s v="3-5 years"/>
    <s v="Monthly"/>
    <s v="20%-30%"/>
    <s v="Mutual Fund"/>
    <s v="Retirement Plan"/>
    <x v="0"/>
    <x v="0"/>
    <x v="1"/>
    <x v="2"/>
    <s v="Newspapers and Magazines"/>
  </r>
  <r>
    <x v="1"/>
    <n v="35"/>
    <x v="0"/>
    <n v="2"/>
    <n v="4"/>
    <n v="7"/>
    <n v="5"/>
    <n v="3"/>
    <n v="1"/>
    <n v="6"/>
    <s v="Yes"/>
    <s v="Returns"/>
    <x v="2"/>
    <s v="Savings for Future"/>
    <s v="1-3 years"/>
    <s v="Weekly"/>
    <s v="20%-30%"/>
    <s v="Equity"/>
    <s v="Retirement Plan"/>
    <x v="0"/>
    <x v="2"/>
    <x v="0"/>
    <x v="0"/>
    <s v="Television"/>
  </r>
  <r>
    <x v="1"/>
    <n v="31"/>
    <x v="0"/>
    <n v="1"/>
    <n v="3"/>
    <n v="7"/>
    <n v="4"/>
    <n v="5"/>
    <n v="2"/>
    <n v="6"/>
    <s v="Yes"/>
    <s v="Returns"/>
    <x v="0"/>
    <s v="Wealth Creation"/>
    <s v="3-5 years"/>
    <s v="Monthly"/>
    <s v="30%-40%"/>
    <s v="Fixed Deposits"/>
    <s v="Retirement Plan"/>
    <x v="0"/>
    <x v="2"/>
    <x v="1"/>
    <x v="0"/>
    <s v="Newspapers and Magazines"/>
  </r>
  <r>
    <x v="0"/>
    <n v="35"/>
    <x v="0"/>
    <n v="2"/>
    <n v="4"/>
    <n v="7"/>
    <n v="5"/>
    <n v="3"/>
    <n v="1"/>
    <n v="6"/>
    <s v="Yes"/>
    <s v="Risk"/>
    <x v="2"/>
    <s v="Savings for Future"/>
    <s v="3-5 years"/>
    <s v="Monthly"/>
    <s v="20%-30%"/>
    <s v="Mutual Fund"/>
    <s v="Retirement Plan"/>
    <x v="0"/>
    <x v="0"/>
    <x v="1"/>
    <x v="2"/>
    <s v="Financial Consultants"/>
  </r>
  <r>
    <x v="1"/>
    <n v="29"/>
    <x v="0"/>
    <n v="2"/>
    <n v="5"/>
    <n v="7"/>
    <n v="6"/>
    <n v="3"/>
    <n v="1"/>
    <n v="4"/>
    <s v="Yes"/>
    <s v="Risk"/>
    <x v="0"/>
    <s v="Wealth Creation"/>
    <s v="1-3 years"/>
    <s v="Monthly"/>
    <s v="20%-30%"/>
    <s v="Mutual Fund"/>
    <s v="Retirement Plan"/>
    <x v="0"/>
    <x v="2"/>
    <x v="1"/>
    <x v="0"/>
    <s v="Financial Consultants"/>
  </r>
  <r>
    <x v="0"/>
    <n v="21"/>
    <x v="1"/>
    <n v="1"/>
    <n v="2"/>
    <n v="3"/>
    <n v="4"/>
    <n v="5"/>
    <n v="6"/>
    <n v="7"/>
    <s v="No"/>
    <s v="Returns"/>
    <x v="0"/>
    <s v="Savings for Future"/>
    <s v="1-3 years"/>
    <s v="Weekly"/>
    <s v="20%-30%"/>
    <s v="Mutual Fund"/>
    <s v="Education"/>
    <x v="1"/>
    <x v="0"/>
    <x v="0"/>
    <x v="2"/>
    <s v="Internet"/>
  </r>
  <r>
    <x v="0"/>
    <n v="28"/>
    <x v="0"/>
    <n v="2"/>
    <n v="3"/>
    <n v="7"/>
    <n v="4"/>
    <n v="5"/>
    <n v="1"/>
    <n v="6"/>
    <s v="Yes"/>
    <s v="Returns"/>
    <x v="0"/>
    <s v="Wealth Creation"/>
    <s v="1-3 years"/>
    <s v="Monthly"/>
    <s v="20%-30%"/>
    <s v="Mutual Fund"/>
    <s v="Retirement Plan"/>
    <x v="0"/>
    <x v="2"/>
    <x v="1"/>
    <x v="2"/>
    <s v="Newspapers and Magazines"/>
  </r>
  <r>
    <x v="0"/>
    <n v="25"/>
    <x v="0"/>
    <n v="2"/>
    <n v="3"/>
    <n v="7"/>
    <n v="5"/>
    <n v="4"/>
    <n v="1"/>
    <n v="6"/>
    <s v="Yes"/>
    <s v="Returns"/>
    <x v="0"/>
    <s v="Wealth Creation"/>
    <s v="1-3 years"/>
    <s v="Monthly"/>
    <s v="20%-30%"/>
    <s v="Fixed Deposits"/>
    <s v="Health Care"/>
    <x v="1"/>
    <x v="0"/>
    <x v="1"/>
    <x v="2"/>
    <s v="Financial Consultants"/>
  </r>
  <r>
    <x v="1"/>
    <n v="27"/>
    <x v="0"/>
    <n v="2"/>
    <n v="3"/>
    <n v="7"/>
    <n v="5"/>
    <n v="4"/>
    <n v="1"/>
    <n v="6"/>
    <s v="Yes"/>
    <s v="Returns"/>
    <x v="0"/>
    <s v="Wealth Creation"/>
    <s v="1-3 years"/>
    <s v="Monthly"/>
    <s v="20%-30%"/>
    <s v="Mutual Fund"/>
    <s v="Health Care"/>
    <x v="0"/>
    <x v="2"/>
    <x v="1"/>
    <x v="2"/>
    <s v="Newspapers and Magazines"/>
  </r>
  <r>
    <x v="0"/>
    <n v="28"/>
    <x v="0"/>
    <n v="3"/>
    <n v="2"/>
    <n v="7"/>
    <n v="5"/>
    <n v="4"/>
    <n v="1"/>
    <n v="6"/>
    <s v="Yes"/>
    <s v="Risk"/>
    <x v="2"/>
    <s v="Wealth Creation"/>
    <s v="1-3 years"/>
    <s v="Monthly"/>
    <s v="20%-30%"/>
    <s v="Fixed Deposits"/>
    <s v="Health Care"/>
    <x v="0"/>
    <x v="2"/>
    <x v="1"/>
    <x v="2"/>
    <s v="Television"/>
  </r>
  <r>
    <x v="1"/>
    <n v="27"/>
    <x v="0"/>
    <n v="3"/>
    <n v="2"/>
    <n v="7"/>
    <n v="4"/>
    <n v="5"/>
    <n v="1"/>
    <n v="6"/>
    <s v="Yes"/>
    <s v="Returns"/>
    <x v="0"/>
    <s v="Wealth Creation"/>
    <s v="1-3 years"/>
    <s v="Monthly"/>
    <s v="20%-30%"/>
    <s v="Mutual Fund"/>
    <s v="Retirement Plan"/>
    <x v="0"/>
    <x v="0"/>
    <x v="1"/>
    <x v="2"/>
    <s v="Financial Consultants"/>
  </r>
  <r>
    <x v="1"/>
    <n v="29"/>
    <x v="0"/>
    <n v="3"/>
    <n v="2"/>
    <n v="7"/>
    <n v="4"/>
    <n v="5"/>
    <n v="1"/>
    <n v="6"/>
    <s v="Yes"/>
    <s v="Risk"/>
    <x v="0"/>
    <s v="Wealth Creation"/>
    <s v="1-3 years"/>
    <s v="Monthly"/>
    <s v="20%-30%"/>
    <s v="Mutual Fund"/>
    <s v="Retirement Plan"/>
    <x v="0"/>
    <x v="0"/>
    <x v="1"/>
    <x v="2"/>
    <s v="Newspapers and Magazines"/>
  </r>
  <r>
    <x v="1"/>
    <n v="26"/>
    <x v="0"/>
    <n v="3"/>
    <n v="4"/>
    <n v="6"/>
    <n v="5"/>
    <n v="1"/>
    <n v="2"/>
    <n v="7"/>
    <s v="Yes"/>
    <s v="Risk"/>
    <x v="0"/>
    <s v="Wealth Creation"/>
    <s v="3-5 years"/>
    <s v="Monthly"/>
    <s v="20%-30%"/>
    <s v="Fixed Deposits"/>
    <s v="Health Care"/>
    <x v="0"/>
    <x v="2"/>
    <x v="1"/>
    <x v="2"/>
    <s v="Newspapers and Magazines"/>
  </r>
  <r>
    <x v="1"/>
    <n v="29"/>
    <x v="0"/>
    <n v="2"/>
    <n v="4"/>
    <n v="7"/>
    <n v="5"/>
    <n v="3"/>
    <n v="1"/>
    <n v="6"/>
    <s v="Yes"/>
    <s v="Returns"/>
    <x v="2"/>
    <s v="Wealth Creation"/>
    <s v="3-5 years"/>
    <s v="Weekly"/>
    <s v="20%-30%"/>
    <s v="Mutual Fund"/>
    <s v="Retirement Plan"/>
    <x v="0"/>
    <x v="0"/>
    <x v="1"/>
    <x v="0"/>
    <s v="Financial Consultants"/>
  </r>
  <r>
    <x v="0"/>
    <n v="24"/>
    <x v="0"/>
    <n v="2"/>
    <n v="4"/>
    <n v="5"/>
    <n v="6"/>
    <n v="3"/>
    <n v="1"/>
    <n v="7"/>
    <s v="Yes"/>
    <s v="Risk"/>
    <x v="0"/>
    <s v="Wealth Creation"/>
    <s v="3-5 years"/>
    <s v="Monthly"/>
    <s v="20%-30%"/>
    <s v="Equity"/>
    <s v="Health Care"/>
    <x v="0"/>
    <x v="0"/>
    <x v="1"/>
    <x v="2"/>
    <s v="Newspapers and Magazines"/>
  </r>
  <r>
    <x v="1"/>
    <n v="27"/>
    <x v="0"/>
    <n v="3"/>
    <n v="4"/>
    <n v="6"/>
    <n v="5"/>
    <n v="2"/>
    <n v="1"/>
    <n v="7"/>
    <s v="Yes"/>
    <s v="Returns"/>
    <x v="0"/>
    <s v="Wealth Creation"/>
    <s v="3-5 years"/>
    <s v="Monthly"/>
    <s v="20%-30%"/>
    <s v="Mutual Fund"/>
    <s v="Retirement Plan"/>
    <x v="0"/>
    <x v="0"/>
    <x v="1"/>
    <x v="2"/>
    <s v="Financial Consultants"/>
  </r>
  <r>
    <x v="1"/>
    <n v="25"/>
    <x v="0"/>
    <n v="2"/>
    <n v="4"/>
    <n v="6"/>
    <n v="5"/>
    <n v="3"/>
    <n v="1"/>
    <n v="7"/>
    <s v="Yes"/>
    <s v="Risk"/>
    <x v="2"/>
    <s v="Savings for Future"/>
    <s v="3-5 years"/>
    <s v="Weekly"/>
    <s v="20%-30%"/>
    <s v="Public Provident Fund"/>
    <s v="Health Care"/>
    <x v="2"/>
    <x v="0"/>
    <x v="1"/>
    <x v="2"/>
    <s v="Financial Consultants"/>
  </r>
  <r>
    <x v="0"/>
    <n v="26"/>
    <x v="0"/>
    <n v="2"/>
    <n v="3"/>
    <n v="7"/>
    <n v="5"/>
    <n v="4"/>
    <n v="1"/>
    <n v="6"/>
    <s v="Yes"/>
    <s v="Returns"/>
    <x v="0"/>
    <s v="Wealth Creation"/>
    <s v="3-5 years"/>
    <s v="Monthly"/>
    <s v="30%-40%"/>
    <s v="Public Provident Fund"/>
    <s v="Retirement Plan"/>
    <x v="0"/>
    <x v="0"/>
    <x v="1"/>
    <x v="2"/>
    <s v="Newspapers and Magazines"/>
  </r>
  <r>
    <x v="0"/>
    <n v="32"/>
    <x v="0"/>
    <n v="3"/>
    <n v="4"/>
    <n v="7"/>
    <n v="5"/>
    <n v="1"/>
    <n v="2"/>
    <n v="6"/>
    <s v="Yes"/>
    <s v="Risk"/>
    <x v="2"/>
    <s v="Wealth Creation"/>
    <s v="3-5 years"/>
    <s v="Monthly"/>
    <s v="20%-30%"/>
    <s v="Mutual Fund"/>
    <s v="Retirement Plan"/>
    <x v="0"/>
    <x v="0"/>
    <x v="1"/>
    <x v="0"/>
    <s v="Financial Consultants"/>
  </r>
  <r>
    <x v="1"/>
    <n v="26"/>
    <x v="0"/>
    <n v="3"/>
    <n v="4"/>
    <n v="6"/>
    <n v="5"/>
    <n v="1"/>
    <n v="2"/>
    <n v="7"/>
    <s v="Yes"/>
    <s v="Returns"/>
    <x v="0"/>
    <s v="Wealth Creation"/>
    <s v="3-5 years"/>
    <s v="Monthly"/>
    <s v="20%-30%"/>
    <s v="Mutual Fund"/>
    <s v="Retirement Plan"/>
    <x v="1"/>
    <x v="2"/>
    <x v="1"/>
    <x v="0"/>
    <s v="Financial Consultants"/>
  </r>
  <r>
    <x v="1"/>
    <n v="31"/>
    <x v="0"/>
    <n v="2"/>
    <n v="3"/>
    <n v="7"/>
    <n v="6"/>
    <n v="4"/>
    <n v="1"/>
    <n v="5"/>
    <s v="Yes"/>
    <s v="Risk"/>
    <x v="2"/>
    <s v="Savings for Future"/>
    <s v="1-3 years"/>
    <s v="Monthly"/>
    <s v="20%-30%"/>
    <s v="Fixed Deposits"/>
    <s v="Health Care"/>
    <x v="0"/>
    <x v="2"/>
    <x v="0"/>
    <x v="0"/>
    <s v="Television"/>
  </r>
  <r>
    <x v="1"/>
    <n v="29"/>
    <x v="0"/>
    <n v="2"/>
    <n v="3"/>
    <n v="6"/>
    <n v="5"/>
    <n v="1"/>
    <n v="4"/>
    <n v="7"/>
    <s v="Yes"/>
    <s v="Returns"/>
    <x v="0"/>
    <s v="Wealth Creation"/>
    <s v="1-3 years"/>
    <s v="Monthly"/>
    <s v="20%-30%"/>
    <s v="Equity"/>
    <s v="Retirement Plan"/>
    <x v="0"/>
    <x v="0"/>
    <x v="1"/>
    <x v="2"/>
    <s v="Television"/>
  </r>
  <r>
    <x v="0"/>
    <n v="34"/>
    <x v="0"/>
    <n v="5"/>
    <n v="4"/>
    <n v="3"/>
    <n v="2"/>
    <n v="7"/>
    <n v="1"/>
    <n v="6"/>
    <s v="Yes"/>
    <s v="Returns"/>
    <x v="1"/>
    <s v="Returns"/>
    <s v="3-5 years"/>
    <s v="Monthly"/>
    <s v="10%-20%"/>
    <s v="Mutual Fund"/>
    <s v="Retirement Plan"/>
    <x v="0"/>
    <x v="1"/>
    <x v="0"/>
    <x v="0"/>
    <s v="Newspapers and Magazines"/>
  </r>
  <r>
    <x v="1"/>
    <n v="27"/>
    <x v="0"/>
    <n v="4"/>
    <n v="5"/>
    <n v="1"/>
    <n v="2"/>
    <n v="7"/>
    <n v="3"/>
    <n v="6"/>
    <s v="No"/>
    <s v="Returns"/>
    <x v="2"/>
    <s v="Wealth Creation"/>
    <s v="1-3 years"/>
    <s v="Monthly"/>
    <s v="10%-20%"/>
    <s v="Mutual Fund"/>
    <s v="Education"/>
    <x v="0"/>
    <x v="1"/>
    <x v="0"/>
    <x v="0"/>
    <s v="Television"/>
  </r>
  <r>
    <x v="0"/>
    <n v="31"/>
    <x v="0"/>
    <n v="2"/>
    <n v="4"/>
    <n v="7"/>
    <n v="6"/>
    <n v="3"/>
    <n v="1"/>
    <n v="5"/>
    <s v="Yes"/>
    <s v="Returns"/>
    <x v="0"/>
    <s v="Wealth Creation"/>
    <s v="3-5 years"/>
    <s v="Monthly"/>
    <s v="20%-30%"/>
    <s v="Fixed Deposits"/>
    <s v="Retirement Plan"/>
    <x v="0"/>
    <x v="0"/>
    <x v="1"/>
    <x v="0"/>
    <s v="Financial Consultants"/>
  </r>
  <r>
    <x v="1"/>
    <n v="27"/>
    <x v="0"/>
    <n v="2"/>
    <n v="4"/>
    <n v="7"/>
    <n v="5"/>
    <n v="1"/>
    <n v="3"/>
    <n v="6"/>
    <s v="Yes"/>
    <s v="Returns"/>
    <x v="0"/>
    <s v="Wealth Creation"/>
    <s v="3-5 years"/>
    <s v="Monthly"/>
    <s v="30%-40%"/>
    <s v="Equity"/>
    <s v="Health Care"/>
    <x v="0"/>
    <x v="2"/>
    <x v="1"/>
    <x v="0"/>
    <s v="Newspapers and Magazines"/>
  </r>
  <r>
    <x v="1"/>
    <n v="26"/>
    <x v="0"/>
    <n v="2"/>
    <n v="3"/>
    <n v="6"/>
    <n v="4"/>
    <n v="1"/>
    <n v="5"/>
    <n v="7"/>
    <s v="Yes"/>
    <s v="Returns"/>
    <x v="0"/>
    <s v="Returns"/>
    <s v="1-3 years"/>
    <s v="Monthly"/>
    <s v="20%-30%"/>
    <s v="Fixed Deposits"/>
    <s v="Education"/>
    <x v="1"/>
    <x v="0"/>
    <x v="0"/>
    <x v="2"/>
    <s v="Newspapers and Magazines"/>
  </r>
  <r>
    <x v="1"/>
    <n v="27"/>
    <x v="0"/>
    <n v="2"/>
    <n v="3"/>
    <n v="6"/>
    <n v="5"/>
    <n v="4"/>
    <n v="1"/>
    <n v="7"/>
    <s v="Yes"/>
    <s v="Returns"/>
    <x v="0"/>
    <s v="Wealth Creation"/>
    <s v="1-3 years"/>
    <s v="Weekly"/>
    <s v="20%-30%"/>
    <s v="Mutual Fund"/>
    <s v="Health Care"/>
    <x v="0"/>
    <x v="0"/>
    <x v="0"/>
    <x v="0"/>
    <s v="Financial Consultants"/>
  </r>
  <r>
    <x v="1"/>
    <n v="30"/>
    <x v="0"/>
    <n v="1"/>
    <n v="4"/>
    <n v="6"/>
    <n v="5"/>
    <n v="3"/>
    <n v="2"/>
    <n v="7"/>
    <s v="Yes"/>
    <s v="Risk"/>
    <x v="2"/>
    <s v="Wealth Creation"/>
    <s v="3-5 years"/>
    <s v="Monthly"/>
    <s v="20%-30%"/>
    <s v="Fixed Deposits"/>
    <s v="Health Care"/>
    <x v="0"/>
    <x v="0"/>
    <x v="1"/>
    <x v="0"/>
    <s v="Financial Consultants"/>
  </r>
  <r>
    <x v="1"/>
    <n v="30"/>
    <x v="0"/>
    <n v="2"/>
    <n v="4"/>
    <n v="7"/>
    <n v="5"/>
    <n v="1"/>
    <n v="3"/>
    <n v="6"/>
    <s v="Yes"/>
    <s v="Returns"/>
    <x v="0"/>
    <s v="Wealth Creation"/>
    <s v="1-3 years"/>
    <s v="Monthly"/>
    <s v="20%-30%"/>
    <s v="Equity"/>
    <s v="Retirement Plan"/>
    <x v="0"/>
    <x v="0"/>
    <x v="1"/>
    <x v="2"/>
    <s v="Newspapers and Magazines"/>
  </r>
  <r>
    <x v="1"/>
    <n v="25"/>
    <x v="0"/>
    <n v="5"/>
    <n v="4"/>
    <n v="7"/>
    <n v="6"/>
    <n v="1"/>
    <n v="2"/>
    <n v="3"/>
    <s v="Yes"/>
    <s v="Risk"/>
    <x v="2"/>
    <s v="Savings for Future"/>
    <s v="3-5 years"/>
    <s v="Monthly"/>
    <s v="30%-40%"/>
    <s v="Public Provident Fund"/>
    <s v="Health Care"/>
    <x v="0"/>
    <x v="0"/>
    <x v="0"/>
    <x v="0"/>
    <s v="Financial Consultants"/>
  </r>
  <r>
    <x v="1"/>
    <n v="31"/>
    <x v="0"/>
    <n v="2"/>
    <n v="4"/>
    <n v="7"/>
    <n v="5"/>
    <n v="3"/>
    <n v="1"/>
    <n v="6"/>
    <s v="Yes"/>
    <s v="Risk"/>
    <x v="2"/>
    <s v="Wealth Creation"/>
    <s v="1-3 years"/>
    <s v="Weekly"/>
    <s v="20%-30%"/>
    <s v="Equity"/>
    <s v="Health Care"/>
    <x v="1"/>
    <x v="2"/>
    <x v="1"/>
    <x v="0"/>
    <s v="Newspapers and Magazines"/>
  </r>
  <r>
    <x v="1"/>
    <n v="29"/>
    <x v="0"/>
    <n v="4"/>
    <n v="3"/>
    <n v="5"/>
    <n v="7"/>
    <n v="2"/>
    <n v="1"/>
    <n v="6"/>
    <s v="Yes"/>
    <s v="Returns"/>
    <x v="0"/>
    <s v="Wealth Creation"/>
    <s v="3-5 years"/>
    <s v="Monthly"/>
    <s v="20%-30%"/>
    <s v="Fixed Deposits"/>
    <s v="Retirement Plan"/>
    <x v="1"/>
    <x v="0"/>
    <x v="0"/>
    <x v="0"/>
    <s v="Financial Consultants"/>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x v="0"/>
    <x v="0"/>
    <n v="1"/>
    <n v="2"/>
    <n v="5"/>
    <n v="3"/>
    <n v="7"/>
    <n v="6"/>
    <n v="4"/>
    <s v="Yes"/>
    <s v="Returns"/>
    <s v="Capital Appreciation"/>
    <s v="Wealth Creation"/>
    <s v="1-3 years"/>
    <s v="Monthly"/>
    <s v="20%-30%"/>
    <s v="Mutual Fund"/>
    <x v="0"/>
    <s v="Capital Appreciation"/>
    <s v="Better Returns"/>
    <s v="Safe Investment"/>
    <s v="Fixed Returns"/>
    <x v="0"/>
  </r>
  <r>
    <x v="0"/>
    <x v="1"/>
    <x v="0"/>
    <n v="4"/>
    <n v="3"/>
    <n v="2"/>
    <n v="1"/>
    <n v="5"/>
    <n v="6"/>
    <n v="7"/>
    <s v="No"/>
    <s v="Locking Period"/>
    <s v="Capital Appreciation"/>
    <s v="Wealth Creation"/>
    <s v="More than 5 years"/>
    <s v="Weekly"/>
    <s v="20%-30%"/>
    <s v="Mutual Fund"/>
    <x v="1"/>
    <s v="Dividend"/>
    <s v="Better Returns"/>
    <s v="Safe Investment"/>
    <s v="High Interest Rates"/>
    <x v="1"/>
  </r>
  <r>
    <x v="1"/>
    <x v="2"/>
    <x v="0"/>
    <n v="3"/>
    <n v="6"/>
    <n v="4"/>
    <n v="2"/>
    <n v="5"/>
    <n v="1"/>
    <n v="7"/>
    <s v="Yes"/>
    <s v="Returns"/>
    <s v="Capital Appreciation"/>
    <s v="Wealth Creation"/>
    <s v="3-5 years"/>
    <s v="Daily"/>
    <s v="20%-30%"/>
    <s v="Equity"/>
    <x v="0"/>
    <s v="Capital Appreciation"/>
    <s v="Tax Benefits"/>
    <s v="Assured Returns"/>
    <s v="Fixed Returns"/>
    <x v="2"/>
  </r>
  <r>
    <x v="1"/>
    <x v="3"/>
    <x v="0"/>
    <n v="2"/>
    <n v="1"/>
    <n v="3"/>
    <n v="7"/>
    <n v="6"/>
    <n v="4"/>
    <n v="5"/>
    <s v="Yes"/>
    <s v="Returns"/>
    <s v="Income"/>
    <s v="Wealth Creation"/>
    <s v="Less than 1 year"/>
    <s v="Daily"/>
    <s v="10%-20%"/>
    <s v="Equity"/>
    <x v="0"/>
    <s v="Dividend"/>
    <s v="Fund Diversification"/>
    <s v="Tax Incentives"/>
    <s v="High Interest Rates"/>
    <x v="3"/>
  </r>
  <r>
    <x v="0"/>
    <x v="4"/>
    <x v="1"/>
    <n v="2"/>
    <n v="1"/>
    <n v="3"/>
    <n v="6"/>
    <n v="4"/>
    <n v="5"/>
    <n v="7"/>
    <s v="No"/>
    <s v="Returns"/>
    <s v="Income"/>
    <s v="Wealth Creation"/>
    <s v="Less than 1 year"/>
    <s v="Daily"/>
    <s v="20%-30%"/>
    <s v="Equity"/>
    <x v="0"/>
    <s v="Capital Appreciation"/>
    <s v="Better Returns"/>
    <s v="Safe Investment"/>
    <s v="Risk Free"/>
    <x v="3"/>
  </r>
  <r>
    <x v="0"/>
    <x v="4"/>
    <x v="1"/>
    <n v="7"/>
    <n v="5"/>
    <n v="4"/>
    <n v="6"/>
    <n v="3"/>
    <n v="1"/>
    <n v="2"/>
    <s v="No"/>
    <s v="Risk"/>
    <s v="Capital Appreciation"/>
    <s v="Wealth Creation"/>
    <s v="1-3 years"/>
    <s v="Daily"/>
    <s v="30%-40%"/>
    <s v="Mutual Fund"/>
    <x v="0"/>
    <s v="Liquidity"/>
    <s v="Fund Diversification"/>
    <s v="Safe Investment"/>
    <s v="Risk Free"/>
    <x v="3"/>
  </r>
  <r>
    <x v="0"/>
    <x v="5"/>
    <x v="0"/>
    <n v="3"/>
    <n v="6"/>
    <n v="4"/>
    <n v="2"/>
    <n v="5"/>
    <n v="1"/>
    <n v="7"/>
    <s v="Yes"/>
    <s v="Returns"/>
    <s v="Capital Appreciation"/>
    <s v="Wealth Creation"/>
    <s v="3-5 years"/>
    <s v="Monthly"/>
    <s v="20%-30%"/>
    <s v="Equity"/>
    <x v="0"/>
    <s v="Capital Appreciation"/>
    <s v="Better Returns"/>
    <s v="Assured Returns"/>
    <s v="High Interest Rates"/>
    <x v="1"/>
  </r>
  <r>
    <x v="1"/>
    <x v="6"/>
    <x v="0"/>
    <n v="2"/>
    <n v="3"/>
    <n v="7"/>
    <n v="4"/>
    <n v="6"/>
    <n v="1"/>
    <n v="5"/>
    <s v="Yes"/>
    <s v="Risk"/>
    <s v="Capital Appreciation"/>
    <s v="Wealth Creation"/>
    <s v="3-5 years"/>
    <s v="Monthly"/>
    <s v="20%-30%"/>
    <s v="Mutual Fund"/>
    <x v="0"/>
    <s v="Capital Appreciation"/>
    <s v="Better Returns"/>
    <s v="Assured Returns"/>
    <s v="Risk Free"/>
    <x v="0"/>
  </r>
  <r>
    <x v="1"/>
    <x v="7"/>
    <x v="0"/>
    <n v="2"/>
    <n v="4"/>
    <n v="7"/>
    <n v="5"/>
    <n v="3"/>
    <n v="1"/>
    <n v="6"/>
    <s v="Yes"/>
    <s v="Returns"/>
    <s v="Growth"/>
    <s v="Savings for Future"/>
    <s v="1-3 years"/>
    <s v="Weekly"/>
    <s v="20%-30%"/>
    <s v="Equity"/>
    <x v="0"/>
    <s v="Capital Appreciation"/>
    <s v="Fund Diversification"/>
    <s v="Safe Investment"/>
    <s v="Fixed Returns"/>
    <x v="2"/>
  </r>
  <r>
    <x v="1"/>
    <x v="8"/>
    <x v="0"/>
    <n v="1"/>
    <n v="3"/>
    <n v="7"/>
    <n v="4"/>
    <n v="5"/>
    <n v="2"/>
    <n v="6"/>
    <s v="Yes"/>
    <s v="Returns"/>
    <s v="Capital Appreciation"/>
    <s v="Wealth Creation"/>
    <s v="3-5 years"/>
    <s v="Monthly"/>
    <s v="30%-40%"/>
    <s v="Fixed Deposits"/>
    <x v="0"/>
    <s v="Capital Appreciation"/>
    <s v="Fund Diversification"/>
    <s v="Assured Returns"/>
    <s v="Fixed Returns"/>
    <x v="0"/>
  </r>
  <r>
    <x v="0"/>
    <x v="7"/>
    <x v="0"/>
    <n v="2"/>
    <n v="4"/>
    <n v="7"/>
    <n v="5"/>
    <n v="3"/>
    <n v="1"/>
    <n v="6"/>
    <s v="Yes"/>
    <s v="Risk"/>
    <s v="Growth"/>
    <s v="Savings for Future"/>
    <s v="3-5 years"/>
    <s v="Monthly"/>
    <s v="20%-30%"/>
    <s v="Mutual Fund"/>
    <x v="0"/>
    <s v="Capital Appreciation"/>
    <s v="Better Returns"/>
    <s v="Assured Returns"/>
    <s v="Risk Free"/>
    <x v="1"/>
  </r>
  <r>
    <x v="1"/>
    <x v="9"/>
    <x v="0"/>
    <n v="2"/>
    <n v="5"/>
    <n v="7"/>
    <n v="6"/>
    <n v="3"/>
    <n v="1"/>
    <n v="4"/>
    <s v="Yes"/>
    <s v="Risk"/>
    <s v="Capital Appreciation"/>
    <s v="Wealth Creation"/>
    <s v="1-3 years"/>
    <s v="Monthly"/>
    <s v="20%-30%"/>
    <s v="Mutual Fund"/>
    <x v="0"/>
    <s v="Capital Appreciation"/>
    <s v="Fund Diversification"/>
    <s v="Assured Returns"/>
    <s v="Fixed Returns"/>
    <x v="1"/>
  </r>
  <r>
    <x v="0"/>
    <x v="6"/>
    <x v="1"/>
    <n v="1"/>
    <n v="2"/>
    <n v="3"/>
    <n v="4"/>
    <n v="5"/>
    <n v="6"/>
    <n v="7"/>
    <s v="No"/>
    <s v="Returns"/>
    <s v="Capital Appreciation"/>
    <s v="Savings for Future"/>
    <s v="1-3 years"/>
    <s v="Weekly"/>
    <s v="20%-30%"/>
    <s v="Mutual Fund"/>
    <x v="2"/>
    <s v="Dividend"/>
    <s v="Better Returns"/>
    <s v="Safe Investment"/>
    <s v="Risk Free"/>
    <x v="3"/>
  </r>
  <r>
    <x v="0"/>
    <x v="10"/>
    <x v="0"/>
    <n v="2"/>
    <n v="3"/>
    <n v="7"/>
    <n v="4"/>
    <n v="5"/>
    <n v="1"/>
    <n v="6"/>
    <s v="Yes"/>
    <s v="Returns"/>
    <s v="Capital Appreciation"/>
    <s v="Wealth Creation"/>
    <s v="1-3 years"/>
    <s v="Monthly"/>
    <s v="20%-30%"/>
    <s v="Mutual Fund"/>
    <x v="0"/>
    <s v="Capital Appreciation"/>
    <s v="Fund Diversification"/>
    <s v="Assured Returns"/>
    <s v="Risk Free"/>
    <x v="0"/>
  </r>
  <r>
    <x v="0"/>
    <x v="11"/>
    <x v="0"/>
    <n v="2"/>
    <n v="3"/>
    <n v="7"/>
    <n v="5"/>
    <n v="4"/>
    <n v="1"/>
    <n v="6"/>
    <s v="Yes"/>
    <s v="Returns"/>
    <s v="Capital Appreciation"/>
    <s v="Wealth Creation"/>
    <s v="1-3 years"/>
    <s v="Monthly"/>
    <s v="20%-30%"/>
    <s v="Fixed Deposits"/>
    <x v="1"/>
    <s v="Dividend"/>
    <s v="Better Returns"/>
    <s v="Assured Returns"/>
    <s v="Risk Free"/>
    <x v="1"/>
  </r>
  <r>
    <x v="1"/>
    <x v="5"/>
    <x v="0"/>
    <n v="2"/>
    <n v="3"/>
    <n v="7"/>
    <n v="5"/>
    <n v="4"/>
    <n v="1"/>
    <n v="6"/>
    <s v="Yes"/>
    <s v="Returns"/>
    <s v="Capital Appreciation"/>
    <s v="Wealth Creation"/>
    <s v="1-3 years"/>
    <s v="Monthly"/>
    <s v="20%-30%"/>
    <s v="Mutual Fund"/>
    <x v="1"/>
    <s v="Capital Appreciation"/>
    <s v="Fund Diversification"/>
    <s v="Assured Returns"/>
    <s v="Risk Free"/>
    <x v="0"/>
  </r>
  <r>
    <x v="0"/>
    <x v="10"/>
    <x v="0"/>
    <n v="3"/>
    <n v="2"/>
    <n v="7"/>
    <n v="5"/>
    <n v="4"/>
    <n v="1"/>
    <n v="6"/>
    <s v="Yes"/>
    <s v="Risk"/>
    <s v="Growth"/>
    <s v="Wealth Creation"/>
    <s v="1-3 years"/>
    <s v="Monthly"/>
    <s v="20%-30%"/>
    <s v="Fixed Deposits"/>
    <x v="1"/>
    <s v="Capital Appreciation"/>
    <s v="Fund Diversification"/>
    <s v="Assured Returns"/>
    <s v="Risk Free"/>
    <x v="2"/>
  </r>
  <r>
    <x v="1"/>
    <x v="5"/>
    <x v="0"/>
    <n v="3"/>
    <n v="2"/>
    <n v="7"/>
    <n v="4"/>
    <n v="5"/>
    <n v="1"/>
    <n v="6"/>
    <s v="Yes"/>
    <s v="Returns"/>
    <s v="Capital Appreciation"/>
    <s v="Wealth Creation"/>
    <s v="1-3 years"/>
    <s v="Monthly"/>
    <s v="20%-30%"/>
    <s v="Mutual Fund"/>
    <x v="0"/>
    <s v="Capital Appreciation"/>
    <s v="Better Returns"/>
    <s v="Assured Returns"/>
    <s v="Risk Free"/>
    <x v="1"/>
  </r>
  <r>
    <x v="1"/>
    <x v="9"/>
    <x v="0"/>
    <n v="3"/>
    <n v="2"/>
    <n v="7"/>
    <n v="4"/>
    <n v="5"/>
    <n v="1"/>
    <n v="6"/>
    <s v="Yes"/>
    <s v="Risk"/>
    <s v="Capital Appreciation"/>
    <s v="Wealth Creation"/>
    <s v="1-3 years"/>
    <s v="Monthly"/>
    <s v="20%-30%"/>
    <s v="Mutual Fund"/>
    <x v="0"/>
    <s v="Capital Appreciation"/>
    <s v="Better Returns"/>
    <s v="Assured Returns"/>
    <s v="Risk Free"/>
    <x v="0"/>
  </r>
  <r>
    <x v="1"/>
    <x v="12"/>
    <x v="0"/>
    <n v="3"/>
    <n v="4"/>
    <n v="6"/>
    <n v="5"/>
    <n v="1"/>
    <n v="2"/>
    <n v="7"/>
    <s v="Yes"/>
    <s v="Risk"/>
    <s v="Capital Appreciation"/>
    <s v="Wealth Creation"/>
    <s v="3-5 years"/>
    <s v="Monthly"/>
    <s v="20%-30%"/>
    <s v="Fixed Deposits"/>
    <x v="1"/>
    <s v="Capital Appreciation"/>
    <s v="Fund Diversification"/>
    <s v="Assured Returns"/>
    <s v="Risk Free"/>
    <x v="0"/>
  </r>
  <r>
    <x v="1"/>
    <x v="9"/>
    <x v="0"/>
    <n v="2"/>
    <n v="4"/>
    <n v="7"/>
    <n v="5"/>
    <n v="3"/>
    <n v="1"/>
    <n v="6"/>
    <s v="Yes"/>
    <s v="Returns"/>
    <s v="Growth"/>
    <s v="Wealth Creation"/>
    <s v="3-5 years"/>
    <s v="Weekly"/>
    <s v="20%-30%"/>
    <s v="Mutual Fund"/>
    <x v="0"/>
    <s v="Capital Appreciation"/>
    <s v="Better Returns"/>
    <s v="Assured Returns"/>
    <s v="Fixed Returns"/>
    <x v="1"/>
  </r>
  <r>
    <x v="0"/>
    <x v="4"/>
    <x v="0"/>
    <n v="2"/>
    <n v="4"/>
    <n v="5"/>
    <n v="6"/>
    <n v="3"/>
    <n v="1"/>
    <n v="7"/>
    <s v="Yes"/>
    <s v="Risk"/>
    <s v="Capital Appreciation"/>
    <s v="Wealth Creation"/>
    <s v="3-5 years"/>
    <s v="Monthly"/>
    <s v="20%-30%"/>
    <s v="Equity"/>
    <x v="1"/>
    <s v="Capital Appreciation"/>
    <s v="Better Returns"/>
    <s v="Assured Returns"/>
    <s v="Risk Free"/>
    <x v="0"/>
  </r>
  <r>
    <x v="1"/>
    <x v="5"/>
    <x v="0"/>
    <n v="3"/>
    <n v="4"/>
    <n v="6"/>
    <n v="5"/>
    <n v="2"/>
    <n v="1"/>
    <n v="7"/>
    <s v="Yes"/>
    <s v="Returns"/>
    <s v="Capital Appreciation"/>
    <s v="Wealth Creation"/>
    <s v="3-5 years"/>
    <s v="Monthly"/>
    <s v="20%-30%"/>
    <s v="Mutual Fund"/>
    <x v="0"/>
    <s v="Capital Appreciation"/>
    <s v="Better Returns"/>
    <s v="Assured Returns"/>
    <s v="Risk Free"/>
    <x v="1"/>
  </r>
  <r>
    <x v="1"/>
    <x v="11"/>
    <x v="0"/>
    <n v="2"/>
    <n v="4"/>
    <n v="6"/>
    <n v="5"/>
    <n v="3"/>
    <n v="1"/>
    <n v="7"/>
    <s v="Yes"/>
    <s v="Risk"/>
    <s v="Growth"/>
    <s v="Savings for Future"/>
    <s v="3-5 years"/>
    <s v="Weekly"/>
    <s v="20%-30%"/>
    <s v="Public Provident Fund"/>
    <x v="1"/>
    <s v="Liquidity"/>
    <s v="Better Returns"/>
    <s v="Assured Returns"/>
    <s v="Risk Free"/>
    <x v="1"/>
  </r>
  <r>
    <x v="0"/>
    <x v="12"/>
    <x v="0"/>
    <n v="2"/>
    <n v="3"/>
    <n v="7"/>
    <n v="5"/>
    <n v="4"/>
    <n v="1"/>
    <n v="6"/>
    <s v="Yes"/>
    <s v="Returns"/>
    <s v="Capital Appreciation"/>
    <s v="Wealth Creation"/>
    <s v="3-5 years"/>
    <s v="Monthly"/>
    <s v="30%-40%"/>
    <s v="Public Provident Fund"/>
    <x v="0"/>
    <s v="Capital Appreciation"/>
    <s v="Better Returns"/>
    <s v="Assured Returns"/>
    <s v="Risk Free"/>
    <x v="0"/>
  </r>
  <r>
    <x v="0"/>
    <x v="13"/>
    <x v="0"/>
    <n v="3"/>
    <n v="4"/>
    <n v="7"/>
    <n v="5"/>
    <n v="1"/>
    <n v="2"/>
    <n v="6"/>
    <s v="Yes"/>
    <s v="Risk"/>
    <s v="Growth"/>
    <s v="Wealth Creation"/>
    <s v="3-5 years"/>
    <s v="Monthly"/>
    <s v="20%-30%"/>
    <s v="Mutual Fund"/>
    <x v="0"/>
    <s v="Capital Appreciation"/>
    <s v="Better Returns"/>
    <s v="Assured Returns"/>
    <s v="Fixed Returns"/>
    <x v="1"/>
  </r>
  <r>
    <x v="1"/>
    <x v="12"/>
    <x v="0"/>
    <n v="3"/>
    <n v="4"/>
    <n v="6"/>
    <n v="5"/>
    <n v="1"/>
    <n v="2"/>
    <n v="7"/>
    <s v="Yes"/>
    <s v="Returns"/>
    <s v="Capital Appreciation"/>
    <s v="Wealth Creation"/>
    <s v="3-5 years"/>
    <s v="Monthly"/>
    <s v="20%-30%"/>
    <s v="Mutual Fund"/>
    <x v="0"/>
    <s v="Dividend"/>
    <s v="Fund Diversification"/>
    <s v="Assured Returns"/>
    <s v="Fixed Returns"/>
    <x v="1"/>
  </r>
  <r>
    <x v="1"/>
    <x v="8"/>
    <x v="0"/>
    <n v="2"/>
    <n v="3"/>
    <n v="7"/>
    <n v="6"/>
    <n v="4"/>
    <n v="1"/>
    <n v="5"/>
    <s v="Yes"/>
    <s v="Risk"/>
    <s v="Growth"/>
    <s v="Savings for Future"/>
    <s v="1-3 years"/>
    <s v="Monthly"/>
    <s v="20%-30%"/>
    <s v="Fixed Deposits"/>
    <x v="1"/>
    <s v="Capital Appreciation"/>
    <s v="Fund Diversification"/>
    <s v="Safe Investment"/>
    <s v="Fixed Returns"/>
    <x v="2"/>
  </r>
  <r>
    <x v="1"/>
    <x v="9"/>
    <x v="0"/>
    <n v="2"/>
    <n v="3"/>
    <n v="6"/>
    <n v="5"/>
    <n v="1"/>
    <n v="4"/>
    <n v="7"/>
    <s v="Yes"/>
    <s v="Returns"/>
    <s v="Capital Appreciation"/>
    <s v="Wealth Creation"/>
    <s v="1-3 years"/>
    <s v="Monthly"/>
    <s v="20%-30%"/>
    <s v="Equity"/>
    <x v="0"/>
    <s v="Capital Appreciation"/>
    <s v="Better Returns"/>
    <s v="Assured Returns"/>
    <s v="Risk Free"/>
    <x v="2"/>
  </r>
  <r>
    <x v="0"/>
    <x v="0"/>
    <x v="0"/>
    <n v="5"/>
    <n v="4"/>
    <n v="3"/>
    <n v="2"/>
    <n v="7"/>
    <n v="1"/>
    <n v="6"/>
    <s v="Yes"/>
    <s v="Returns"/>
    <s v="Income"/>
    <s v="Returns"/>
    <s v="3-5 years"/>
    <s v="Monthly"/>
    <s v="10%-20%"/>
    <s v="Mutual Fund"/>
    <x v="0"/>
    <s v="Capital Appreciation"/>
    <s v="Tax Benefits"/>
    <s v="Safe Investment"/>
    <s v="Fixed Returns"/>
    <x v="0"/>
  </r>
  <r>
    <x v="1"/>
    <x v="5"/>
    <x v="0"/>
    <n v="4"/>
    <n v="5"/>
    <n v="1"/>
    <n v="2"/>
    <n v="7"/>
    <n v="3"/>
    <n v="6"/>
    <s v="No"/>
    <s v="Returns"/>
    <s v="Growth"/>
    <s v="Wealth Creation"/>
    <s v="1-3 years"/>
    <s v="Monthly"/>
    <s v="10%-20%"/>
    <s v="Mutual Fund"/>
    <x v="2"/>
    <s v="Capital Appreciation"/>
    <s v="Tax Benefits"/>
    <s v="Safe Investment"/>
    <s v="Fixed Returns"/>
    <x v="2"/>
  </r>
  <r>
    <x v="0"/>
    <x v="8"/>
    <x v="0"/>
    <n v="2"/>
    <n v="4"/>
    <n v="7"/>
    <n v="6"/>
    <n v="3"/>
    <n v="1"/>
    <n v="5"/>
    <s v="Yes"/>
    <s v="Returns"/>
    <s v="Capital Appreciation"/>
    <s v="Wealth Creation"/>
    <s v="3-5 years"/>
    <s v="Monthly"/>
    <s v="20%-30%"/>
    <s v="Fixed Deposits"/>
    <x v="0"/>
    <s v="Capital Appreciation"/>
    <s v="Better Returns"/>
    <s v="Assured Returns"/>
    <s v="Fixed Returns"/>
    <x v="1"/>
  </r>
  <r>
    <x v="1"/>
    <x v="5"/>
    <x v="0"/>
    <n v="2"/>
    <n v="4"/>
    <n v="7"/>
    <n v="5"/>
    <n v="1"/>
    <n v="3"/>
    <n v="6"/>
    <s v="Yes"/>
    <s v="Returns"/>
    <s v="Capital Appreciation"/>
    <s v="Wealth Creation"/>
    <s v="3-5 years"/>
    <s v="Monthly"/>
    <s v="30%-40%"/>
    <s v="Equity"/>
    <x v="1"/>
    <s v="Capital Appreciation"/>
    <s v="Fund Diversification"/>
    <s v="Assured Returns"/>
    <s v="Fixed Returns"/>
    <x v="0"/>
  </r>
  <r>
    <x v="1"/>
    <x v="12"/>
    <x v="0"/>
    <n v="2"/>
    <n v="3"/>
    <n v="6"/>
    <n v="4"/>
    <n v="1"/>
    <n v="5"/>
    <n v="7"/>
    <s v="Yes"/>
    <s v="Returns"/>
    <s v="Capital Appreciation"/>
    <s v="Returns"/>
    <s v="1-3 years"/>
    <s v="Monthly"/>
    <s v="20%-30%"/>
    <s v="Fixed Deposits"/>
    <x v="2"/>
    <s v="Dividend"/>
    <s v="Better Returns"/>
    <s v="Safe Investment"/>
    <s v="Risk Free"/>
    <x v="0"/>
  </r>
  <r>
    <x v="1"/>
    <x v="5"/>
    <x v="0"/>
    <n v="2"/>
    <n v="3"/>
    <n v="6"/>
    <n v="5"/>
    <n v="4"/>
    <n v="1"/>
    <n v="7"/>
    <s v="Yes"/>
    <s v="Returns"/>
    <s v="Capital Appreciation"/>
    <s v="Wealth Creation"/>
    <s v="1-3 years"/>
    <s v="Weekly"/>
    <s v="20%-30%"/>
    <s v="Mutual Fund"/>
    <x v="1"/>
    <s v="Capital Appreciation"/>
    <s v="Better Returns"/>
    <s v="Safe Investment"/>
    <s v="Fixed Returns"/>
    <x v="1"/>
  </r>
  <r>
    <x v="1"/>
    <x v="2"/>
    <x v="0"/>
    <n v="1"/>
    <n v="4"/>
    <n v="6"/>
    <n v="5"/>
    <n v="3"/>
    <n v="2"/>
    <n v="7"/>
    <s v="Yes"/>
    <s v="Risk"/>
    <s v="Growth"/>
    <s v="Wealth Creation"/>
    <s v="3-5 years"/>
    <s v="Monthly"/>
    <s v="20%-30%"/>
    <s v="Fixed Deposits"/>
    <x v="1"/>
    <s v="Capital Appreciation"/>
    <s v="Better Returns"/>
    <s v="Assured Returns"/>
    <s v="Fixed Returns"/>
    <x v="1"/>
  </r>
  <r>
    <x v="1"/>
    <x v="2"/>
    <x v="0"/>
    <n v="2"/>
    <n v="4"/>
    <n v="7"/>
    <n v="5"/>
    <n v="1"/>
    <n v="3"/>
    <n v="6"/>
    <s v="Yes"/>
    <s v="Returns"/>
    <s v="Capital Appreciation"/>
    <s v="Wealth Creation"/>
    <s v="1-3 years"/>
    <s v="Monthly"/>
    <s v="20%-30%"/>
    <s v="Equity"/>
    <x v="0"/>
    <s v="Capital Appreciation"/>
    <s v="Better Returns"/>
    <s v="Assured Returns"/>
    <s v="Risk Free"/>
    <x v="0"/>
  </r>
  <r>
    <x v="1"/>
    <x v="11"/>
    <x v="0"/>
    <n v="5"/>
    <n v="4"/>
    <n v="7"/>
    <n v="6"/>
    <n v="1"/>
    <n v="2"/>
    <n v="3"/>
    <s v="Yes"/>
    <s v="Risk"/>
    <s v="Growth"/>
    <s v="Savings for Future"/>
    <s v="3-5 years"/>
    <s v="Monthly"/>
    <s v="30%-40%"/>
    <s v="Public Provident Fund"/>
    <x v="1"/>
    <s v="Capital Appreciation"/>
    <s v="Better Returns"/>
    <s v="Safe Investment"/>
    <s v="Fixed Returns"/>
    <x v="1"/>
  </r>
  <r>
    <x v="1"/>
    <x v="8"/>
    <x v="0"/>
    <n v="2"/>
    <n v="4"/>
    <n v="7"/>
    <n v="5"/>
    <n v="3"/>
    <n v="1"/>
    <n v="6"/>
    <s v="Yes"/>
    <s v="Risk"/>
    <s v="Growth"/>
    <s v="Wealth Creation"/>
    <s v="1-3 years"/>
    <s v="Weekly"/>
    <s v="20%-30%"/>
    <s v="Equity"/>
    <x v="1"/>
    <s v="Dividend"/>
    <s v="Fund Diversification"/>
    <s v="Assured Returns"/>
    <s v="Fixed Returns"/>
    <x v="0"/>
  </r>
  <r>
    <x v="1"/>
    <x v="9"/>
    <x v="0"/>
    <n v="4"/>
    <n v="3"/>
    <n v="5"/>
    <n v="7"/>
    <n v="2"/>
    <n v="1"/>
    <n v="6"/>
    <s v="Yes"/>
    <s v="Returns"/>
    <s v="Capital Appreciation"/>
    <s v="Wealth Creation"/>
    <s v="3-5 years"/>
    <s v="Monthly"/>
    <s v="20%-30%"/>
    <s v="Fixed Deposits"/>
    <x v="0"/>
    <s v="Dividend"/>
    <s v="Better Returns"/>
    <s v="Safe Investment"/>
    <s v="Fixed Returns"/>
    <x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s v="Female"/>
    <n v="34"/>
    <s v="Yes"/>
    <n v="1"/>
    <n v="2"/>
    <n v="5"/>
    <n v="3"/>
    <n v="7"/>
    <n v="6"/>
    <n v="4"/>
    <s v="Yes"/>
    <s v="Returns"/>
    <s v="Capital Appreciation"/>
    <s v="Wealth Creation"/>
    <x v="0"/>
    <s v="Monthly"/>
    <x v="0"/>
    <s v="Mutual Fund"/>
    <s v="Retirement Plan"/>
    <s v="Capital Appreciation"/>
    <s v="Better Returns"/>
    <s v="Safe Investment"/>
    <s v="Fixed Returns"/>
    <s v="Newspapers and Magazines"/>
  </r>
  <r>
    <s v="Female"/>
    <n v="23"/>
    <s v="Yes"/>
    <n v="4"/>
    <n v="3"/>
    <n v="2"/>
    <n v="1"/>
    <n v="5"/>
    <n v="6"/>
    <n v="7"/>
    <s v="No"/>
    <s v="Locking Period"/>
    <s v="Capital Appreciation"/>
    <s v="Wealth Creation"/>
    <x v="1"/>
    <s v="Weekly"/>
    <x v="0"/>
    <s v="Mutual Fund"/>
    <s v="Health Care"/>
    <s v="Dividend"/>
    <s v="Better Returns"/>
    <s v="Safe Investment"/>
    <s v="High Interest Rates"/>
    <s v="Financial Consultants"/>
  </r>
  <r>
    <s v="Male"/>
    <n v="30"/>
    <s v="Yes"/>
    <n v="3"/>
    <n v="6"/>
    <n v="4"/>
    <n v="2"/>
    <n v="5"/>
    <n v="1"/>
    <n v="7"/>
    <s v="Yes"/>
    <s v="Returns"/>
    <s v="Capital Appreciation"/>
    <s v="Wealth Creation"/>
    <x v="2"/>
    <s v="Daily"/>
    <x v="0"/>
    <s v="Equity"/>
    <s v="Retirement Plan"/>
    <s v="Capital Appreciation"/>
    <s v="Tax Benefits"/>
    <s v="Assured Returns"/>
    <s v="Fixed Returns"/>
    <s v="Television"/>
  </r>
  <r>
    <s v="Male"/>
    <n v="22"/>
    <s v="Yes"/>
    <n v="2"/>
    <n v="1"/>
    <n v="3"/>
    <n v="7"/>
    <n v="6"/>
    <n v="4"/>
    <n v="5"/>
    <s v="Yes"/>
    <s v="Returns"/>
    <s v="Income"/>
    <s v="Wealth Creation"/>
    <x v="3"/>
    <s v="Daily"/>
    <x v="1"/>
    <s v="Equity"/>
    <s v="Retirement Plan"/>
    <s v="Dividend"/>
    <s v="Fund Diversification"/>
    <s v="Tax Incentives"/>
    <s v="High Interest Rates"/>
    <s v="Internet"/>
  </r>
  <r>
    <s v="Female"/>
    <n v="24"/>
    <s v="No"/>
    <n v="2"/>
    <n v="1"/>
    <n v="3"/>
    <n v="6"/>
    <n v="4"/>
    <n v="5"/>
    <n v="7"/>
    <s v="No"/>
    <s v="Returns"/>
    <s v="Income"/>
    <s v="Wealth Creation"/>
    <x v="3"/>
    <s v="Daily"/>
    <x v="0"/>
    <s v="Equity"/>
    <s v="Retirement Plan"/>
    <s v="Capital Appreciation"/>
    <s v="Better Returns"/>
    <s v="Safe Investment"/>
    <s v="Risk Free"/>
    <s v="Internet"/>
  </r>
  <r>
    <s v="Female"/>
    <n v="24"/>
    <s v="No"/>
    <n v="7"/>
    <n v="5"/>
    <n v="4"/>
    <n v="6"/>
    <n v="3"/>
    <n v="1"/>
    <n v="2"/>
    <s v="No"/>
    <s v="Risk"/>
    <s v="Capital Appreciation"/>
    <s v="Wealth Creation"/>
    <x v="0"/>
    <s v="Daily"/>
    <x v="2"/>
    <s v="Mutual Fund"/>
    <s v="Retirement Plan"/>
    <s v="Liquidity"/>
    <s v="Fund Diversification"/>
    <s v="Safe Investment"/>
    <s v="Risk Free"/>
    <s v="Internet"/>
  </r>
  <r>
    <s v="Female"/>
    <n v="27"/>
    <s v="Yes"/>
    <n v="3"/>
    <n v="6"/>
    <n v="4"/>
    <n v="2"/>
    <n v="5"/>
    <n v="1"/>
    <n v="7"/>
    <s v="Yes"/>
    <s v="Returns"/>
    <s v="Capital Appreciation"/>
    <s v="Wealth Creation"/>
    <x v="2"/>
    <s v="Monthly"/>
    <x v="0"/>
    <s v="Equity"/>
    <s v="Retirement Plan"/>
    <s v="Capital Appreciation"/>
    <s v="Better Returns"/>
    <s v="Assured Returns"/>
    <s v="High Interest Rates"/>
    <s v="Financial Consultants"/>
  </r>
  <r>
    <s v="Male"/>
    <n v="21"/>
    <s v="Yes"/>
    <n v="2"/>
    <n v="3"/>
    <n v="7"/>
    <n v="4"/>
    <n v="6"/>
    <n v="1"/>
    <n v="5"/>
    <s v="Yes"/>
    <s v="Risk"/>
    <s v="Capital Appreciation"/>
    <s v="Wealth Creation"/>
    <x v="2"/>
    <s v="Monthly"/>
    <x v="0"/>
    <s v="Mutual Fund"/>
    <s v="Retirement Plan"/>
    <s v="Capital Appreciation"/>
    <s v="Better Returns"/>
    <s v="Assured Returns"/>
    <s v="Risk Free"/>
    <s v="Newspapers and Magazines"/>
  </r>
  <r>
    <s v="Male"/>
    <n v="35"/>
    <s v="Yes"/>
    <n v="2"/>
    <n v="4"/>
    <n v="7"/>
    <n v="5"/>
    <n v="3"/>
    <n v="1"/>
    <n v="6"/>
    <s v="Yes"/>
    <s v="Returns"/>
    <s v="Growth"/>
    <s v="Savings for Future"/>
    <x v="0"/>
    <s v="Weekly"/>
    <x v="0"/>
    <s v="Equity"/>
    <s v="Retirement Plan"/>
    <s v="Capital Appreciation"/>
    <s v="Fund Diversification"/>
    <s v="Safe Investment"/>
    <s v="Fixed Returns"/>
    <s v="Television"/>
  </r>
  <r>
    <s v="Male"/>
    <n v="31"/>
    <s v="Yes"/>
    <n v="1"/>
    <n v="3"/>
    <n v="7"/>
    <n v="4"/>
    <n v="5"/>
    <n v="2"/>
    <n v="6"/>
    <s v="Yes"/>
    <s v="Returns"/>
    <s v="Capital Appreciation"/>
    <s v="Wealth Creation"/>
    <x v="2"/>
    <s v="Monthly"/>
    <x v="2"/>
    <s v="Fixed Deposits"/>
    <s v="Retirement Plan"/>
    <s v="Capital Appreciation"/>
    <s v="Fund Diversification"/>
    <s v="Assured Returns"/>
    <s v="Fixed Returns"/>
    <s v="Newspapers and Magazines"/>
  </r>
  <r>
    <s v="Female"/>
    <n v="35"/>
    <s v="Yes"/>
    <n v="2"/>
    <n v="4"/>
    <n v="7"/>
    <n v="5"/>
    <n v="3"/>
    <n v="1"/>
    <n v="6"/>
    <s v="Yes"/>
    <s v="Risk"/>
    <s v="Growth"/>
    <s v="Savings for Future"/>
    <x v="2"/>
    <s v="Monthly"/>
    <x v="0"/>
    <s v="Mutual Fund"/>
    <s v="Retirement Plan"/>
    <s v="Capital Appreciation"/>
    <s v="Better Returns"/>
    <s v="Assured Returns"/>
    <s v="Risk Free"/>
    <s v="Financial Consultants"/>
  </r>
  <r>
    <s v="Male"/>
    <n v="29"/>
    <s v="Yes"/>
    <n v="2"/>
    <n v="5"/>
    <n v="7"/>
    <n v="6"/>
    <n v="3"/>
    <n v="1"/>
    <n v="4"/>
    <s v="Yes"/>
    <s v="Risk"/>
    <s v="Capital Appreciation"/>
    <s v="Wealth Creation"/>
    <x v="0"/>
    <s v="Monthly"/>
    <x v="0"/>
    <s v="Mutual Fund"/>
    <s v="Retirement Plan"/>
    <s v="Capital Appreciation"/>
    <s v="Fund Diversification"/>
    <s v="Assured Returns"/>
    <s v="Fixed Returns"/>
    <s v="Financial Consultants"/>
  </r>
  <r>
    <s v="Female"/>
    <n v="21"/>
    <s v="No"/>
    <n v="1"/>
    <n v="2"/>
    <n v="3"/>
    <n v="4"/>
    <n v="5"/>
    <n v="6"/>
    <n v="7"/>
    <s v="No"/>
    <s v="Returns"/>
    <s v="Capital Appreciation"/>
    <s v="Savings for Future"/>
    <x v="0"/>
    <s v="Weekly"/>
    <x v="0"/>
    <s v="Mutual Fund"/>
    <s v="Education"/>
    <s v="Dividend"/>
    <s v="Better Returns"/>
    <s v="Safe Investment"/>
    <s v="Risk Free"/>
    <s v="Internet"/>
  </r>
  <r>
    <s v="Female"/>
    <n v="28"/>
    <s v="Yes"/>
    <n v="2"/>
    <n v="3"/>
    <n v="7"/>
    <n v="4"/>
    <n v="5"/>
    <n v="1"/>
    <n v="6"/>
    <s v="Yes"/>
    <s v="Returns"/>
    <s v="Capital Appreciation"/>
    <s v="Wealth Creation"/>
    <x v="0"/>
    <s v="Monthly"/>
    <x v="0"/>
    <s v="Mutual Fund"/>
    <s v="Retirement Plan"/>
    <s v="Capital Appreciation"/>
    <s v="Fund Diversification"/>
    <s v="Assured Returns"/>
    <s v="Risk Free"/>
    <s v="Newspapers and Magazines"/>
  </r>
  <r>
    <s v="Female"/>
    <n v="25"/>
    <s v="Yes"/>
    <n v="2"/>
    <n v="3"/>
    <n v="7"/>
    <n v="5"/>
    <n v="4"/>
    <n v="1"/>
    <n v="6"/>
    <s v="Yes"/>
    <s v="Returns"/>
    <s v="Capital Appreciation"/>
    <s v="Wealth Creation"/>
    <x v="0"/>
    <s v="Monthly"/>
    <x v="0"/>
    <s v="Fixed Deposits"/>
    <s v="Health Care"/>
    <s v="Dividend"/>
    <s v="Better Returns"/>
    <s v="Assured Returns"/>
    <s v="Risk Free"/>
    <s v="Financial Consultants"/>
  </r>
  <r>
    <s v="Male"/>
    <n v="27"/>
    <s v="Yes"/>
    <n v="2"/>
    <n v="3"/>
    <n v="7"/>
    <n v="5"/>
    <n v="4"/>
    <n v="1"/>
    <n v="6"/>
    <s v="Yes"/>
    <s v="Returns"/>
    <s v="Capital Appreciation"/>
    <s v="Wealth Creation"/>
    <x v="0"/>
    <s v="Monthly"/>
    <x v="0"/>
    <s v="Mutual Fund"/>
    <s v="Health Care"/>
    <s v="Capital Appreciation"/>
    <s v="Fund Diversification"/>
    <s v="Assured Returns"/>
    <s v="Risk Free"/>
    <s v="Newspapers and Magazines"/>
  </r>
  <r>
    <s v="Female"/>
    <n v="28"/>
    <s v="Yes"/>
    <n v="3"/>
    <n v="2"/>
    <n v="7"/>
    <n v="5"/>
    <n v="4"/>
    <n v="1"/>
    <n v="6"/>
    <s v="Yes"/>
    <s v="Risk"/>
    <s v="Growth"/>
    <s v="Wealth Creation"/>
    <x v="0"/>
    <s v="Monthly"/>
    <x v="0"/>
    <s v="Fixed Deposits"/>
    <s v="Health Care"/>
    <s v="Capital Appreciation"/>
    <s v="Fund Diversification"/>
    <s v="Assured Returns"/>
    <s v="Risk Free"/>
    <s v="Television"/>
  </r>
  <r>
    <s v="Male"/>
    <n v="27"/>
    <s v="Yes"/>
    <n v="3"/>
    <n v="2"/>
    <n v="7"/>
    <n v="4"/>
    <n v="5"/>
    <n v="1"/>
    <n v="6"/>
    <s v="Yes"/>
    <s v="Returns"/>
    <s v="Capital Appreciation"/>
    <s v="Wealth Creation"/>
    <x v="0"/>
    <s v="Monthly"/>
    <x v="0"/>
    <s v="Mutual Fund"/>
    <s v="Retirement Plan"/>
    <s v="Capital Appreciation"/>
    <s v="Better Returns"/>
    <s v="Assured Returns"/>
    <s v="Risk Free"/>
    <s v="Financial Consultants"/>
  </r>
  <r>
    <s v="Male"/>
    <n v="29"/>
    <s v="Yes"/>
    <n v="3"/>
    <n v="2"/>
    <n v="7"/>
    <n v="4"/>
    <n v="5"/>
    <n v="1"/>
    <n v="6"/>
    <s v="Yes"/>
    <s v="Risk"/>
    <s v="Capital Appreciation"/>
    <s v="Wealth Creation"/>
    <x v="0"/>
    <s v="Monthly"/>
    <x v="0"/>
    <s v="Mutual Fund"/>
    <s v="Retirement Plan"/>
    <s v="Capital Appreciation"/>
    <s v="Better Returns"/>
    <s v="Assured Returns"/>
    <s v="Risk Free"/>
    <s v="Newspapers and Magazines"/>
  </r>
  <r>
    <s v="Male"/>
    <n v="26"/>
    <s v="Yes"/>
    <n v="3"/>
    <n v="4"/>
    <n v="6"/>
    <n v="5"/>
    <n v="1"/>
    <n v="2"/>
    <n v="7"/>
    <s v="Yes"/>
    <s v="Risk"/>
    <s v="Capital Appreciation"/>
    <s v="Wealth Creation"/>
    <x v="2"/>
    <s v="Monthly"/>
    <x v="0"/>
    <s v="Fixed Deposits"/>
    <s v="Health Care"/>
    <s v="Capital Appreciation"/>
    <s v="Fund Diversification"/>
    <s v="Assured Returns"/>
    <s v="Risk Free"/>
    <s v="Newspapers and Magazines"/>
  </r>
  <r>
    <s v="Male"/>
    <n v="29"/>
    <s v="Yes"/>
    <n v="2"/>
    <n v="4"/>
    <n v="7"/>
    <n v="5"/>
    <n v="3"/>
    <n v="1"/>
    <n v="6"/>
    <s v="Yes"/>
    <s v="Returns"/>
    <s v="Growth"/>
    <s v="Wealth Creation"/>
    <x v="2"/>
    <s v="Weekly"/>
    <x v="0"/>
    <s v="Mutual Fund"/>
    <s v="Retirement Plan"/>
    <s v="Capital Appreciation"/>
    <s v="Better Returns"/>
    <s v="Assured Returns"/>
    <s v="Fixed Returns"/>
    <s v="Financial Consultants"/>
  </r>
  <r>
    <s v="Female"/>
    <n v="24"/>
    <s v="Yes"/>
    <n v="2"/>
    <n v="4"/>
    <n v="5"/>
    <n v="6"/>
    <n v="3"/>
    <n v="1"/>
    <n v="7"/>
    <s v="Yes"/>
    <s v="Risk"/>
    <s v="Capital Appreciation"/>
    <s v="Wealth Creation"/>
    <x v="2"/>
    <s v="Monthly"/>
    <x v="0"/>
    <s v="Equity"/>
    <s v="Health Care"/>
    <s v="Capital Appreciation"/>
    <s v="Better Returns"/>
    <s v="Assured Returns"/>
    <s v="Risk Free"/>
    <s v="Newspapers and Magazines"/>
  </r>
  <r>
    <s v="Male"/>
    <n v="27"/>
    <s v="Yes"/>
    <n v="3"/>
    <n v="4"/>
    <n v="6"/>
    <n v="5"/>
    <n v="2"/>
    <n v="1"/>
    <n v="7"/>
    <s v="Yes"/>
    <s v="Returns"/>
    <s v="Capital Appreciation"/>
    <s v="Wealth Creation"/>
    <x v="2"/>
    <s v="Monthly"/>
    <x v="0"/>
    <s v="Mutual Fund"/>
    <s v="Retirement Plan"/>
    <s v="Capital Appreciation"/>
    <s v="Better Returns"/>
    <s v="Assured Returns"/>
    <s v="Risk Free"/>
    <s v="Financial Consultants"/>
  </r>
  <r>
    <s v="Male"/>
    <n v="25"/>
    <s v="Yes"/>
    <n v="2"/>
    <n v="4"/>
    <n v="6"/>
    <n v="5"/>
    <n v="3"/>
    <n v="1"/>
    <n v="7"/>
    <s v="Yes"/>
    <s v="Risk"/>
    <s v="Growth"/>
    <s v="Savings for Future"/>
    <x v="2"/>
    <s v="Weekly"/>
    <x v="0"/>
    <s v="Public Provident Fund"/>
    <s v="Health Care"/>
    <s v="Liquidity"/>
    <s v="Better Returns"/>
    <s v="Assured Returns"/>
    <s v="Risk Free"/>
    <s v="Financial Consultants"/>
  </r>
  <r>
    <s v="Female"/>
    <n v="26"/>
    <s v="Yes"/>
    <n v="2"/>
    <n v="3"/>
    <n v="7"/>
    <n v="5"/>
    <n v="4"/>
    <n v="1"/>
    <n v="6"/>
    <s v="Yes"/>
    <s v="Returns"/>
    <s v="Capital Appreciation"/>
    <s v="Wealth Creation"/>
    <x v="2"/>
    <s v="Monthly"/>
    <x v="2"/>
    <s v="Public Provident Fund"/>
    <s v="Retirement Plan"/>
    <s v="Capital Appreciation"/>
    <s v="Better Returns"/>
    <s v="Assured Returns"/>
    <s v="Risk Free"/>
    <s v="Newspapers and Magazines"/>
  </r>
  <r>
    <s v="Female"/>
    <n v="32"/>
    <s v="Yes"/>
    <n v="3"/>
    <n v="4"/>
    <n v="7"/>
    <n v="5"/>
    <n v="1"/>
    <n v="2"/>
    <n v="6"/>
    <s v="Yes"/>
    <s v="Risk"/>
    <s v="Growth"/>
    <s v="Wealth Creation"/>
    <x v="2"/>
    <s v="Monthly"/>
    <x v="0"/>
    <s v="Mutual Fund"/>
    <s v="Retirement Plan"/>
    <s v="Capital Appreciation"/>
    <s v="Better Returns"/>
    <s v="Assured Returns"/>
    <s v="Fixed Returns"/>
    <s v="Financial Consultants"/>
  </r>
  <r>
    <s v="Male"/>
    <n v="26"/>
    <s v="Yes"/>
    <n v="3"/>
    <n v="4"/>
    <n v="6"/>
    <n v="5"/>
    <n v="1"/>
    <n v="2"/>
    <n v="7"/>
    <s v="Yes"/>
    <s v="Returns"/>
    <s v="Capital Appreciation"/>
    <s v="Wealth Creation"/>
    <x v="2"/>
    <s v="Monthly"/>
    <x v="0"/>
    <s v="Mutual Fund"/>
    <s v="Retirement Plan"/>
    <s v="Dividend"/>
    <s v="Fund Diversification"/>
    <s v="Assured Returns"/>
    <s v="Fixed Returns"/>
    <s v="Financial Consultants"/>
  </r>
  <r>
    <s v="Male"/>
    <n v="31"/>
    <s v="Yes"/>
    <n v="2"/>
    <n v="3"/>
    <n v="7"/>
    <n v="6"/>
    <n v="4"/>
    <n v="1"/>
    <n v="5"/>
    <s v="Yes"/>
    <s v="Risk"/>
    <s v="Growth"/>
    <s v="Savings for Future"/>
    <x v="0"/>
    <s v="Monthly"/>
    <x v="0"/>
    <s v="Fixed Deposits"/>
    <s v="Health Care"/>
    <s v="Capital Appreciation"/>
    <s v="Fund Diversification"/>
    <s v="Safe Investment"/>
    <s v="Fixed Returns"/>
    <s v="Television"/>
  </r>
  <r>
    <s v="Male"/>
    <n v="29"/>
    <s v="Yes"/>
    <n v="2"/>
    <n v="3"/>
    <n v="6"/>
    <n v="5"/>
    <n v="1"/>
    <n v="4"/>
    <n v="7"/>
    <s v="Yes"/>
    <s v="Returns"/>
    <s v="Capital Appreciation"/>
    <s v="Wealth Creation"/>
    <x v="0"/>
    <s v="Monthly"/>
    <x v="0"/>
    <s v="Equity"/>
    <s v="Retirement Plan"/>
    <s v="Capital Appreciation"/>
    <s v="Better Returns"/>
    <s v="Assured Returns"/>
    <s v="Risk Free"/>
    <s v="Television"/>
  </r>
  <r>
    <s v="Female"/>
    <n v="34"/>
    <s v="Yes"/>
    <n v="5"/>
    <n v="4"/>
    <n v="3"/>
    <n v="2"/>
    <n v="7"/>
    <n v="1"/>
    <n v="6"/>
    <s v="Yes"/>
    <s v="Returns"/>
    <s v="Income"/>
    <s v="Returns"/>
    <x v="2"/>
    <s v="Monthly"/>
    <x v="1"/>
    <s v="Mutual Fund"/>
    <s v="Retirement Plan"/>
    <s v="Capital Appreciation"/>
    <s v="Tax Benefits"/>
    <s v="Safe Investment"/>
    <s v="Fixed Returns"/>
    <s v="Newspapers and Magazines"/>
  </r>
  <r>
    <s v="Male"/>
    <n v="27"/>
    <s v="Yes"/>
    <n v="4"/>
    <n v="5"/>
    <n v="1"/>
    <n v="2"/>
    <n v="7"/>
    <n v="3"/>
    <n v="6"/>
    <s v="No"/>
    <s v="Returns"/>
    <s v="Growth"/>
    <s v="Wealth Creation"/>
    <x v="0"/>
    <s v="Monthly"/>
    <x v="1"/>
    <s v="Mutual Fund"/>
    <s v="Education"/>
    <s v="Capital Appreciation"/>
    <s v="Tax Benefits"/>
    <s v="Safe Investment"/>
    <s v="Fixed Returns"/>
    <s v="Television"/>
  </r>
  <r>
    <s v="Female"/>
    <n v="31"/>
    <s v="Yes"/>
    <n v="2"/>
    <n v="4"/>
    <n v="7"/>
    <n v="6"/>
    <n v="3"/>
    <n v="1"/>
    <n v="5"/>
    <s v="Yes"/>
    <s v="Returns"/>
    <s v="Capital Appreciation"/>
    <s v="Wealth Creation"/>
    <x v="2"/>
    <s v="Monthly"/>
    <x v="0"/>
    <s v="Fixed Deposits"/>
    <s v="Retirement Plan"/>
    <s v="Capital Appreciation"/>
    <s v="Better Returns"/>
    <s v="Assured Returns"/>
    <s v="Fixed Returns"/>
    <s v="Financial Consultants"/>
  </r>
  <r>
    <s v="Male"/>
    <n v="27"/>
    <s v="Yes"/>
    <n v="2"/>
    <n v="4"/>
    <n v="7"/>
    <n v="5"/>
    <n v="1"/>
    <n v="3"/>
    <n v="6"/>
    <s v="Yes"/>
    <s v="Returns"/>
    <s v="Capital Appreciation"/>
    <s v="Wealth Creation"/>
    <x v="2"/>
    <s v="Monthly"/>
    <x v="2"/>
    <s v="Equity"/>
    <s v="Health Care"/>
    <s v="Capital Appreciation"/>
    <s v="Fund Diversification"/>
    <s v="Assured Returns"/>
    <s v="Fixed Returns"/>
    <s v="Newspapers and Magazines"/>
  </r>
  <r>
    <s v="Male"/>
    <n v="26"/>
    <s v="Yes"/>
    <n v="2"/>
    <n v="3"/>
    <n v="6"/>
    <n v="4"/>
    <n v="1"/>
    <n v="5"/>
    <n v="7"/>
    <s v="Yes"/>
    <s v="Returns"/>
    <s v="Capital Appreciation"/>
    <s v="Returns"/>
    <x v="0"/>
    <s v="Monthly"/>
    <x v="0"/>
    <s v="Fixed Deposits"/>
    <s v="Education"/>
    <s v="Dividend"/>
    <s v="Better Returns"/>
    <s v="Safe Investment"/>
    <s v="Risk Free"/>
    <s v="Newspapers and Magazines"/>
  </r>
  <r>
    <s v="Male"/>
    <n v="27"/>
    <s v="Yes"/>
    <n v="2"/>
    <n v="3"/>
    <n v="6"/>
    <n v="5"/>
    <n v="4"/>
    <n v="1"/>
    <n v="7"/>
    <s v="Yes"/>
    <s v="Returns"/>
    <s v="Capital Appreciation"/>
    <s v="Wealth Creation"/>
    <x v="0"/>
    <s v="Weekly"/>
    <x v="0"/>
    <s v="Mutual Fund"/>
    <s v="Health Care"/>
    <s v="Capital Appreciation"/>
    <s v="Better Returns"/>
    <s v="Safe Investment"/>
    <s v="Fixed Returns"/>
    <s v="Financial Consultants"/>
  </r>
  <r>
    <s v="Male"/>
    <n v="30"/>
    <s v="Yes"/>
    <n v="1"/>
    <n v="4"/>
    <n v="6"/>
    <n v="5"/>
    <n v="3"/>
    <n v="2"/>
    <n v="7"/>
    <s v="Yes"/>
    <s v="Risk"/>
    <s v="Growth"/>
    <s v="Wealth Creation"/>
    <x v="2"/>
    <s v="Monthly"/>
    <x v="0"/>
    <s v="Fixed Deposits"/>
    <s v="Health Care"/>
    <s v="Capital Appreciation"/>
    <s v="Better Returns"/>
    <s v="Assured Returns"/>
    <s v="Fixed Returns"/>
    <s v="Financial Consultants"/>
  </r>
  <r>
    <s v="Male"/>
    <n v="30"/>
    <s v="Yes"/>
    <n v="2"/>
    <n v="4"/>
    <n v="7"/>
    <n v="5"/>
    <n v="1"/>
    <n v="3"/>
    <n v="6"/>
    <s v="Yes"/>
    <s v="Returns"/>
    <s v="Capital Appreciation"/>
    <s v="Wealth Creation"/>
    <x v="0"/>
    <s v="Monthly"/>
    <x v="0"/>
    <s v="Equity"/>
    <s v="Retirement Plan"/>
    <s v="Capital Appreciation"/>
    <s v="Better Returns"/>
    <s v="Assured Returns"/>
    <s v="Risk Free"/>
    <s v="Newspapers and Magazines"/>
  </r>
  <r>
    <s v="Male"/>
    <n v="25"/>
    <s v="Yes"/>
    <n v="5"/>
    <n v="4"/>
    <n v="7"/>
    <n v="6"/>
    <n v="1"/>
    <n v="2"/>
    <n v="3"/>
    <s v="Yes"/>
    <s v="Risk"/>
    <s v="Growth"/>
    <s v="Savings for Future"/>
    <x v="2"/>
    <s v="Monthly"/>
    <x v="2"/>
    <s v="Public Provident Fund"/>
    <s v="Health Care"/>
    <s v="Capital Appreciation"/>
    <s v="Better Returns"/>
    <s v="Safe Investment"/>
    <s v="Fixed Returns"/>
    <s v="Financial Consultants"/>
  </r>
  <r>
    <s v="Male"/>
    <n v="31"/>
    <s v="Yes"/>
    <n v="2"/>
    <n v="4"/>
    <n v="7"/>
    <n v="5"/>
    <n v="3"/>
    <n v="1"/>
    <n v="6"/>
    <s v="Yes"/>
    <s v="Risk"/>
    <s v="Growth"/>
    <s v="Wealth Creation"/>
    <x v="0"/>
    <s v="Weekly"/>
    <x v="0"/>
    <s v="Equity"/>
    <s v="Health Care"/>
    <s v="Dividend"/>
    <s v="Fund Diversification"/>
    <s v="Assured Returns"/>
    <s v="Fixed Returns"/>
    <s v="Newspapers and Magazines"/>
  </r>
  <r>
    <s v="Male"/>
    <n v="29"/>
    <s v="Yes"/>
    <n v="4"/>
    <n v="3"/>
    <n v="5"/>
    <n v="7"/>
    <n v="2"/>
    <n v="1"/>
    <n v="6"/>
    <s v="Yes"/>
    <s v="Returns"/>
    <s v="Capital Appreciation"/>
    <s v="Wealth Creation"/>
    <x v="2"/>
    <s v="Monthly"/>
    <x v="0"/>
    <s v="Fixed Deposits"/>
    <s v="Retirement Plan"/>
    <s v="Dividend"/>
    <s v="Better Returns"/>
    <s v="Safe Investment"/>
    <s v="Fixed Returns"/>
    <s v="Financial Consultant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7182CD-6BE7-4BFE-A2FE-B1D0A499CE0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Z2:AA5" firstHeaderRow="1" firstDataRow="1" firstDataCol="1"/>
  <pivotFields count="24">
    <pivotField axis="axisRow" dataField="1" showAll="0" measureFilter="1">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3">
    <i>
      <x/>
    </i>
    <i>
      <x v="1"/>
    </i>
    <i t="grand">
      <x/>
    </i>
  </rowItems>
  <colItems count="1">
    <i/>
  </colItems>
  <dataFields count="1">
    <dataField name="Count of gender" fld="0" subtotal="count" baseField="0" baseItem="0"/>
  </dataFields>
  <chartFormats count="3">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0" count="1" selected="0">
            <x v="0"/>
          </reference>
        </references>
      </pivotArea>
    </chartFormat>
    <chartFormat chart="1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06A0AD-0547-4F35-9086-159094983E26}" name="PivotTable3"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J1:AQ42" firstHeaderRow="0" firstDataRow="1" firstDataCol="4"/>
  <pivotFields count="24">
    <pivotField compact="0" outline="0" showAll="0">
      <items count="3">
        <item x="0"/>
        <item x="1"/>
        <item t="default"/>
      </items>
    </pivotField>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items count="4">
        <item x="0"/>
        <item x="1"/>
        <item x="2"/>
        <item t="default"/>
      </items>
    </pivotField>
    <pivotField axis="axisRow" dataField="1" compact="0" outline="0" showAll="0">
      <items count="4">
        <item x="0"/>
        <item x="2"/>
        <item x="1"/>
        <item t="default"/>
      </items>
    </pivotField>
    <pivotField axis="axisRow" dataField="1" compact="0" outline="0" showAll="0">
      <items count="4">
        <item x="1"/>
        <item x="0"/>
        <item x="2"/>
        <item t="default"/>
      </items>
    </pivotField>
    <pivotField axis="axisRow" dataField="1" compact="0" outline="0" showAll="0">
      <items count="4">
        <item x="0"/>
        <item x="1"/>
        <item x="2"/>
        <item t="default"/>
      </items>
    </pivotField>
    <pivotField compact="0" outline="0" showAll="0"/>
  </pivotFields>
  <rowFields count="4">
    <field x="19"/>
    <field x="20"/>
    <field x="21"/>
    <field x="22"/>
  </rowFields>
  <rowItems count="41">
    <i>
      <x/>
      <x/>
      <x/>
      <x/>
    </i>
    <i r="3">
      <x v="1"/>
    </i>
    <i r="3">
      <x v="2"/>
    </i>
    <i t="default" r="2">
      <x/>
    </i>
    <i r="2">
      <x v="1"/>
      <x/>
    </i>
    <i r="3">
      <x v="2"/>
    </i>
    <i t="default" r="2">
      <x v="1"/>
    </i>
    <i t="default" r="1">
      <x/>
    </i>
    <i r="1">
      <x v="1"/>
      <x/>
      <x/>
    </i>
    <i r="3">
      <x v="2"/>
    </i>
    <i t="default" r="2">
      <x/>
    </i>
    <i r="2">
      <x v="1"/>
      <x/>
    </i>
    <i t="default" r="2">
      <x v="1"/>
    </i>
    <i t="default" r="1">
      <x v="1"/>
    </i>
    <i r="1">
      <x v="2"/>
      <x/>
      <x/>
    </i>
    <i t="default" r="2">
      <x/>
    </i>
    <i r="2">
      <x v="1"/>
      <x/>
    </i>
    <i t="default" r="2">
      <x v="1"/>
    </i>
    <i t="default" r="1">
      <x v="2"/>
    </i>
    <i t="default">
      <x/>
    </i>
    <i>
      <x v="1"/>
      <x/>
      <x/>
      <x v="2"/>
    </i>
    <i t="default" r="2">
      <x/>
    </i>
    <i r="2">
      <x v="1"/>
      <x/>
    </i>
    <i r="3">
      <x v="1"/>
    </i>
    <i r="3">
      <x v="2"/>
    </i>
    <i t="default" r="2">
      <x v="1"/>
    </i>
    <i t="default" r="1">
      <x/>
    </i>
    <i r="1">
      <x v="1"/>
      <x/>
      <x/>
    </i>
    <i t="default" r="2">
      <x/>
    </i>
    <i r="2">
      <x v="2"/>
      <x v="1"/>
    </i>
    <i t="default" r="2">
      <x v="2"/>
    </i>
    <i t="default" r="1">
      <x v="1"/>
    </i>
    <i t="default">
      <x v="1"/>
    </i>
    <i>
      <x v="2"/>
      <x/>
      <x/>
      <x v="2"/>
    </i>
    <i t="default" r="2">
      <x/>
    </i>
    <i t="default" r="1">
      <x/>
    </i>
    <i r="1">
      <x v="1"/>
      <x v="1"/>
      <x v="2"/>
    </i>
    <i t="default" r="2">
      <x v="1"/>
    </i>
    <i t="default" r="1">
      <x v="1"/>
    </i>
    <i t="default">
      <x v="2"/>
    </i>
    <i t="grand">
      <x/>
    </i>
  </rowItems>
  <colFields count="1">
    <field x="-2"/>
  </colFields>
  <colItems count="4">
    <i>
      <x/>
    </i>
    <i i="1">
      <x v="1"/>
    </i>
    <i i="2">
      <x v="2"/>
    </i>
    <i i="3">
      <x v="3"/>
    </i>
  </colItems>
  <dataFields count="4">
    <dataField name="Count of Reason_Equity" fld="19" subtotal="count" baseField="0" baseItem="0"/>
    <dataField name="Count of Reason_Mutual" fld="20" subtotal="count" baseField="0" baseItem="0"/>
    <dataField name="Count of Reason_Bonds" fld="21" subtotal="count" baseField="0" baseItem="0"/>
    <dataField name="Count of Reason_FD" fld="22"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E18522-537E-49F1-8C18-D76799534C9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Z1:AA4" firstHeaderRow="1" firstDataRow="1" firstDataCol="1"/>
  <pivotFields count="24">
    <pivotField showAll="0">
      <items count="3">
        <item x="0"/>
        <item x="1"/>
        <item t="default"/>
      </items>
    </pivotField>
    <pivotField showAll="0"/>
    <pivotField axis="axisRow" dataField="1" showAll="0" measureFilter="1">
      <items count="3">
        <item x="1"/>
        <item x="0"/>
        <item t="default"/>
      </items>
    </pivotField>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Count of Investment_Avenues" fld="2"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Dark5" showRowHeaders="1" showColHeaders="1" showRowStripes="0" showColStripes="0" showLastColumn="1"/>
  <filters count="1">
    <filter fld="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320905-D4C7-4C7F-8B5A-7763CA6AA853}"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G1:AH6" firstHeaderRow="1" firstDataRow="1" firstDataCol="1"/>
  <pivotFields count="24">
    <pivotField showAll="0">
      <items count="3">
        <item x="0"/>
        <item x="1"/>
        <item t="default"/>
      </items>
    </pivotField>
    <pivotField showAll="0">
      <items count="15">
        <item x="6"/>
        <item x="3"/>
        <item x="1"/>
        <item x="4"/>
        <item x="11"/>
        <item x="12"/>
        <item x="5"/>
        <item x="10"/>
        <item x="9"/>
        <item x="2"/>
        <item x="8"/>
        <item x="13"/>
        <item x="0"/>
        <item x="7"/>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1"/>
        <item x="3"/>
        <item x="0"/>
        <item x="2"/>
        <item t="default"/>
      </items>
    </pivotField>
  </pivotFields>
  <rowFields count="1">
    <field x="23"/>
  </rowFields>
  <rowItems count="5">
    <i>
      <x/>
    </i>
    <i>
      <x v="1"/>
    </i>
    <i>
      <x v="2"/>
    </i>
    <i>
      <x v="3"/>
    </i>
    <i t="grand">
      <x/>
    </i>
  </rowItems>
  <colItems count="1">
    <i/>
  </colItems>
  <dataFields count="1">
    <dataField name="Count of Source" fld="23"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Dark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5AD61ED-604A-4F81-85D9-C1C3E2CDEE4A}"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Z1:AA5" firstHeaderRow="1" firstDataRow="1" firstDataCol="1"/>
  <pivotFields count="24">
    <pivotField showAll="0">
      <items count="3">
        <item x="0"/>
        <item x="1"/>
        <item t="default"/>
      </items>
    </pivotField>
    <pivotField showAll="0">
      <items count="15">
        <item x="6"/>
        <item x="3"/>
        <item x="1"/>
        <item x="4"/>
        <item x="11"/>
        <item x="12"/>
        <item x="5"/>
        <item x="10"/>
        <item x="9"/>
        <item x="2"/>
        <item x="8"/>
        <item x="13"/>
        <item x="0"/>
        <item x="7"/>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2"/>
        <item x="1"/>
        <item x="0"/>
        <item t="default"/>
      </items>
    </pivotField>
    <pivotField showAll="0"/>
    <pivotField showAll="0"/>
    <pivotField showAll="0"/>
    <pivotField showAll="0"/>
    <pivotField showAll="0"/>
  </pivotFields>
  <rowFields count="1">
    <field x="18"/>
  </rowFields>
  <rowItems count="4">
    <i>
      <x/>
    </i>
    <i>
      <x v="1"/>
    </i>
    <i>
      <x v="2"/>
    </i>
    <i t="grand">
      <x/>
    </i>
  </rowItems>
  <colItems count="1">
    <i/>
  </colItems>
  <dataFields count="1">
    <dataField name="Count of What are your savings objectives?" fld="18"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8" count="1" selected="0">
            <x v="0"/>
          </reference>
        </references>
      </pivotArea>
    </chartFormat>
    <chartFormat chart="0" format="2">
      <pivotArea type="data" outline="0" fieldPosition="0">
        <references count="2">
          <reference field="4294967294" count="1" selected="0">
            <x v="0"/>
          </reference>
          <reference field="18" count="1" selected="0">
            <x v="1"/>
          </reference>
        </references>
      </pivotArea>
    </chartFormat>
    <chartFormat chart="0" format="3">
      <pivotArea type="data" outline="0" fieldPosition="0">
        <references count="2">
          <reference field="4294967294" count="1" selected="0">
            <x v="0"/>
          </reference>
          <reference field="18" count="1" selected="0">
            <x v="2"/>
          </reference>
        </references>
      </pivotArea>
    </chartFormat>
  </chartFormats>
  <pivotTableStyleInfo name="PivotStyleDark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98D1AB1-A6F7-45A9-8B92-9F18F29E009D}"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I1:AJ5"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1"/>
        <item x="0"/>
        <item x="2"/>
        <item t="default"/>
      </items>
    </pivotField>
    <pivotField showAll="0"/>
    <pivotField showAll="0"/>
    <pivotField showAll="0"/>
    <pivotField showAll="0"/>
    <pivotField showAll="0"/>
    <pivotField showAll="0"/>
    <pivotField showAll="0"/>
  </pivotFields>
  <rowFields count="1">
    <field x="16"/>
  </rowFields>
  <rowItems count="4">
    <i>
      <x/>
    </i>
    <i>
      <x v="1"/>
    </i>
    <i>
      <x v="2"/>
    </i>
    <i t="grand">
      <x/>
    </i>
  </rowItems>
  <colItems count="1">
    <i/>
  </colItems>
  <dataFields count="1">
    <dataField name="Count of Expect" fld="16"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Dark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FC3AC97-81DE-4B8F-B2A7-1B5481822784}"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1:AA6"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0"/>
        <item x="2"/>
        <item x="3"/>
        <item x="1"/>
        <item t="default"/>
      </items>
    </pivotField>
    <pivotField showAll="0"/>
    <pivotField showAll="0"/>
    <pivotField showAll="0"/>
    <pivotField showAll="0"/>
    <pivotField showAll="0"/>
    <pivotField showAll="0"/>
    <pivotField showAll="0"/>
    <pivotField showAll="0"/>
    <pivotField showAll="0"/>
  </pivotFields>
  <rowFields count="1">
    <field x="14"/>
  </rowFields>
  <rowItems count="5">
    <i>
      <x/>
    </i>
    <i>
      <x v="1"/>
    </i>
    <i>
      <x v="2"/>
    </i>
    <i>
      <x v="3"/>
    </i>
    <i t="grand">
      <x/>
    </i>
  </rowItems>
  <colItems count="1">
    <i/>
  </colItems>
  <dataFields count="1">
    <dataField name="Count of Duration" fld="14" subtotal="count" baseField="0" baseItem="0"/>
  </dataFields>
  <pivotTableStyleInfo name="PivotStyleDark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426B634-9FE3-4E32-9F85-C3A7C953188E}" sourceName="gender">
  <pivotTables>
    <pivotTable tabId="3" name="PivotTable3"/>
  </pivotTables>
  <data>
    <tabular pivotCacheId="84348590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estment_Avenues" xr10:uid="{F71E5679-3EA1-4EF7-95E3-487E71D7CDE5}" sourceName="Investment_Avenues">
  <pivotTables>
    <pivotTable tabId="3" name="PivotTable3"/>
  </pivotTables>
  <data>
    <tabular pivotCacheId="843485900">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bjective" xr10:uid="{DE590991-96D2-49C5-A432-6DCE44E96D1A}" sourceName="Objective">
  <pivotTables>
    <pivotTable tabId="3" name="PivotTable3"/>
  </pivotTables>
  <data>
    <tabular pivotCacheId="843485900">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9A18EF13-55ED-4BFE-A786-B2806B675BB9}" sourceName="gender">
  <pivotTables>
    <pivotTable tabId="4" name="PivotTable4"/>
    <pivotTable tabId="4" name="PivotTable5"/>
  </pivotTables>
  <data>
    <tabular pivotCacheId="1655943584">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AB683ECA-49DB-49FA-9F09-198DFA3622C9}" sourceName="age">
  <pivotTables>
    <pivotTable tabId="4" name="PivotTable4"/>
    <pivotTable tabId="4" name="PivotTable5"/>
  </pivotTables>
  <data>
    <tabular pivotCacheId="1655943584">
      <items count="14">
        <i x="6" s="1"/>
        <i x="3" s="1"/>
        <i x="1" s="1"/>
        <i x="4" s="1"/>
        <i x="11" s="1"/>
        <i x="12" s="1"/>
        <i x="5" s="1"/>
        <i x="10" s="1"/>
        <i x="9" s="1"/>
        <i x="2" s="1"/>
        <i x="8" s="1"/>
        <i x="13" s="1"/>
        <i x="0" s="1"/>
        <i x="7"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estment_Avenues1" xr10:uid="{9890A2B0-D73F-49BE-AED0-8B0DCBC0A76C}" sourceName="Investment_Avenues">
  <pivotTables>
    <pivotTable tabId="4" name="PivotTable4"/>
    <pivotTable tabId="4" name="PivotTable5"/>
  </pivotTables>
  <data>
    <tabular pivotCacheId="165594358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9740A0D1-B17C-4A64-BDEF-B9FA82F4931D}" cache="Slicer_gender" caption="gender" rowHeight="247650"/>
  <slicer name="Investment_Avenues 1" xr10:uid="{928B6A1B-15A3-4ADE-9209-165677759725}" cache="Slicer_Investment_Avenues" caption="Investment_Avenues" rowHeight="247650"/>
  <slicer name="Objective 1" xr10:uid="{EB1AF1A1-B631-4F96-953E-A93B5BFD1E53}" cache="Slicer_Objective" caption="Objective" rowHeight="247650"/>
  <slicer name="gender" xr10:uid="{AF2369C1-B029-45C7-9278-D82B464983E7}" cache="Slicer_gender1" caption="gender" rowHeight="247650"/>
  <slicer name="age" xr10:uid="{96F2D95C-8EFF-40CC-998A-042D3F0687F9}" cache="Slicer_age" caption="age" startItem="8" rowHeight="247650"/>
  <slicer name="Investment_Avenues" xr10:uid="{9CC03EE0-4B42-4462-A76A-6AED2211941E}" cache="Slicer_Investment_Avenues1" caption="Investment_Avenues"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4B6576-4BF6-432D-8C8D-80CB328C00FC}" name="Table1" displayName="Table1" ref="A1:X41" totalsRowShown="0">
  <autoFilter ref="A1:X41" xr:uid="{CB4B6576-4BF6-432D-8C8D-80CB328C00FC}"/>
  <tableColumns count="24">
    <tableColumn id="1" xr3:uid="{6C8594ED-D14B-453E-8763-970E24B315D3}" name="gender"/>
    <tableColumn id="2" xr3:uid="{9B76118A-4557-4D27-8388-05B1E9FBC1C1}" name="age"/>
    <tableColumn id="3" xr3:uid="{BE8BDE8C-2F49-4779-925D-082FFA9A29ED}" name="Investment_Avenues"/>
    <tableColumn id="4" xr3:uid="{352B94E3-7906-4E2D-9BEF-0D659AB27632}" name="Mutual_Funds"/>
    <tableColumn id="5" xr3:uid="{661B6729-2C8B-4D7B-9A1D-66F9411E6CE4}" name="Equity_Market"/>
    <tableColumn id="6" xr3:uid="{286B6D5D-DBE5-44E2-B873-138C3F9CD9AF}" name="Debentures"/>
    <tableColumn id="7" xr3:uid="{E7464E08-0F81-474A-B8B7-2E4E2A5DAF1F}" name="Government_Bonds"/>
    <tableColumn id="8" xr3:uid="{60F15FB9-1C92-4427-AB2C-F5E2B1FBDEB2}" name="Fixed_Deposits"/>
    <tableColumn id="9" xr3:uid="{1C9C061C-3BC0-4C04-8A52-400DC43C0376}" name="PPF"/>
    <tableColumn id="10" xr3:uid="{E5338EE6-3AB4-4636-B967-401916756578}" name="Gold"/>
    <tableColumn id="11" xr3:uid="{6A27B756-AABF-4745-B35F-2FF16472847A}" name="Stock_Marktet"/>
    <tableColumn id="12" xr3:uid="{51C06873-DB8C-488E-ACC7-B9154FF8E0C3}" name="Factor"/>
    <tableColumn id="13" xr3:uid="{2EE74885-ED21-4392-80B0-C40B9E77E990}" name="Objective"/>
    <tableColumn id="14" xr3:uid="{59485723-B44B-4A0D-B3EB-72589356DB4C}" name="Purpose"/>
    <tableColumn id="15" xr3:uid="{9B884B8A-557A-4D13-B785-52133DAAC873}" name="Duration"/>
    <tableColumn id="16" xr3:uid="{2695E5FD-C96B-49C7-8567-29D3F031E573}" name="Invest_Monitor"/>
    <tableColumn id="17" xr3:uid="{1E6DC4F2-4E13-4C69-B34B-32C485D44E5F}" name="Expect"/>
    <tableColumn id="18" xr3:uid="{14CD0814-826C-423E-8A8F-7CC4FD13CF79}" name="Avenue"/>
    <tableColumn id="19" xr3:uid="{C027130C-61C1-42B1-96C8-39FA060F605A}" name="What are your savings objectives?"/>
    <tableColumn id="20" xr3:uid="{FD9ABE86-FEDF-4327-B1F7-D1B8D09F7DA0}" name="Reason_Equity"/>
    <tableColumn id="21" xr3:uid="{9B5513F4-27CF-4B64-AC31-386C8F839CE8}" name="Reason_Mutual"/>
    <tableColumn id="22" xr3:uid="{7BCF2EF3-23FB-4F4C-82E2-DC78F9228A1F}" name="Reason_Bonds"/>
    <tableColumn id="23" xr3:uid="{D6BC2F7E-E645-4AC5-989B-B9DEDB40CC05}" name="Reason_FD"/>
    <tableColumn id="24" xr3:uid="{3045FE90-6889-4993-9928-D2E4883ED404}" name="Source"/>
  </tableColumns>
  <tableStyleInfo name="TableStyleDark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A806208-8CFF-4E0F-8C11-BA29FFC9510E}" name="Table13" displayName="Table13" ref="A1:X41" totalsRowShown="0">
  <autoFilter ref="A1:X41" xr:uid="{CA806208-8CFF-4E0F-8C11-BA29FFC9510E}"/>
  <tableColumns count="24">
    <tableColumn id="1" xr3:uid="{C0A89048-985D-413D-A2BE-DFD014E9BF4D}" name="gender"/>
    <tableColumn id="2" xr3:uid="{063AFC94-6558-435C-AABC-FBB63BB9A823}" name="age"/>
    <tableColumn id="3" xr3:uid="{95EDA603-3CFB-4DB5-B1D5-031EF829B51B}" name="Investment_Avenues"/>
    <tableColumn id="4" xr3:uid="{0BCE74D3-64A1-4E85-92B0-25928368B9E9}" name="Mutual_Funds"/>
    <tableColumn id="5" xr3:uid="{462447A6-8A01-48B5-82AE-2CA386469E3D}" name="Equity_Market"/>
    <tableColumn id="6" xr3:uid="{9E069CAB-9291-4EFB-A1B6-18BCF47659BD}" name="Debentures"/>
    <tableColumn id="7" xr3:uid="{0927AA7F-1A2B-4EC7-92B5-0BDE37F1123F}" name="Government_Bonds"/>
    <tableColumn id="8" xr3:uid="{E9E55578-7623-4128-A869-524C1FAB1628}" name="Fixed_Deposits"/>
    <tableColumn id="9" xr3:uid="{37BFBB4B-149D-4431-B87B-088C5EB0A646}" name="PPF"/>
    <tableColumn id="10" xr3:uid="{2016B887-1E2C-4E41-B925-547BDF1F939F}" name="Gold"/>
    <tableColumn id="11" xr3:uid="{C145ACA0-A34F-408C-9FC4-F0B740997FDE}" name="Stock_Marktet"/>
    <tableColumn id="12" xr3:uid="{24EB4695-B15D-46DA-808F-54CAD44EC04E}" name="Factor"/>
    <tableColumn id="13" xr3:uid="{DF1398D2-2E4D-49CE-A07E-2A44189F84EB}" name="Objective"/>
    <tableColumn id="14" xr3:uid="{21C27573-E1AC-44F2-9372-8952CD2CE8D1}" name="Purpose"/>
    <tableColumn id="15" xr3:uid="{CDFCC703-E9D2-453C-9955-A12A71F9553F}" name="Duration"/>
    <tableColumn id="16" xr3:uid="{4957356F-DD6C-4684-9FAA-BBCFBC6BD4DD}" name="Invest_Monitor"/>
    <tableColumn id="17" xr3:uid="{FE543F7C-193A-4F9F-BFF5-405FB471AE65}" name="Expect"/>
    <tableColumn id="18" xr3:uid="{A8FAFBD1-D094-4654-933C-2AB29DF3AFE5}" name="Avenue"/>
    <tableColumn id="19" xr3:uid="{DC2517B6-5ACF-46A7-89CE-C872FD2C1C36}" name="What are your savings objectives?"/>
    <tableColumn id="20" xr3:uid="{C787C1E7-75D1-47E8-AB6E-8B670E705756}" name="Reason_Equity"/>
    <tableColumn id="21" xr3:uid="{5BC083CE-7DAB-4DD7-B3A5-F3E470FAB6A8}" name="Reason_Mutual"/>
    <tableColumn id="22" xr3:uid="{C689B80F-898F-4CFC-83EA-B13662EF34FB}" name="Reason_Bonds"/>
    <tableColumn id="23" xr3:uid="{ECDE4832-5CD8-4985-8FAE-5732D176F751}" name="Reason_FD"/>
    <tableColumn id="24" xr3:uid="{5E833DCA-37D9-4B40-AA40-B118255F08C4}" name="Source"/>
  </tableColumns>
  <tableStyleInfo name="TableStyleLight1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3D5113F-052E-4A7E-8E41-14C42411F2C0}" name="Table14" displayName="Table14" ref="A1:X41" totalsRowShown="0">
  <autoFilter ref="A1:X41" xr:uid="{53D5113F-052E-4A7E-8E41-14C42411F2C0}"/>
  <tableColumns count="24">
    <tableColumn id="1" xr3:uid="{879D22D0-0557-4AC8-9A45-512E3E1AE940}" name="gender"/>
    <tableColumn id="2" xr3:uid="{F4DAB9C8-0633-4A8D-B1B0-C768572B99DB}" name="age"/>
    <tableColumn id="3" xr3:uid="{E34C42FE-FCD9-4CCE-8A98-4364BC820641}" name="Investment_Avenues"/>
    <tableColumn id="4" xr3:uid="{17A8A900-0DC5-4AD0-B5E6-D14831ADDCD1}" name="Mutual_Funds"/>
    <tableColumn id="5" xr3:uid="{78149A81-94DB-44A4-9E41-01F869B58B92}" name="Equity_Market"/>
    <tableColumn id="6" xr3:uid="{FFF3351A-BAE1-4F27-B83E-ED29755A10FF}" name="Debentures"/>
    <tableColumn id="7" xr3:uid="{6CA98E4A-E3D5-44D5-849F-9C22D2A4FEE5}" name="Government_Bonds"/>
    <tableColumn id="8" xr3:uid="{330D4724-A9E4-430D-ADE9-0F6BB1ED0AA9}" name="Fixed_Deposits"/>
    <tableColumn id="9" xr3:uid="{AC7C52E0-C06F-4489-A694-2BA15BB457F2}" name="PPF"/>
    <tableColumn id="10" xr3:uid="{95EBB166-01D3-45E6-B9B3-743C1DB4E661}" name="Gold"/>
    <tableColumn id="11" xr3:uid="{0BF9AD58-0229-4308-BDC6-1B80658640A9}" name="Stock_Marktet"/>
    <tableColumn id="12" xr3:uid="{9DECF07D-6EB4-4D4B-A866-74A3104F1C4B}" name="Factor"/>
    <tableColumn id="13" xr3:uid="{E221BB19-3C4B-41E4-8EBB-5A87DD1432EE}" name="Objective"/>
    <tableColumn id="14" xr3:uid="{B22381A9-DDFC-4BF3-877B-F4772C024E6A}" name="Purpose"/>
    <tableColumn id="15" xr3:uid="{53EF14E0-7A12-4B9C-B135-04FC30FFCDE1}" name="Duration"/>
    <tableColumn id="16" xr3:uid="{1704C7CB-A126-4CF7-B9AF-3513F61C68B1}" name="Invest_Monitor"/>
    <tableColumn id="17" xr3:uid="{A8D5A776-8901-4143-AC73-46C4F3E68C62}" name="Expect"/>
    <tableColumn id="18" xr3:uid="{49BF9965-8C0F-4B3E-8889-E3A4444425AD}" name="Avenue"/>
    <tableColumn id="19" xr3:uid="{21257D4F-AF52-427C-B6D5-F8C1799140CB}" name="What are your savings objectives?"/>
    <tableColumn id="20" xr3:uid="{4F4CA7FA-9AF5-4F05-A0E9-C4A7458CCD9B}" name="Reason_Equity"/>
    <tableColumn id="21" xr3:uid="{519352E4-E6C4-40E1-AF33-A1745ABA84BA}" name="Reason_Mutual"/>
    <tableColumn id="22" xr3:uid="{73C7E124-E35D-4BC4-8AB9-4DE4936EE683}" name="Reason_Bonds"/>
    <tableColumn id="23" xr3:uid="{27C745A5-6648-4C81-B6EA-71DEBE0AD3F2}" name="Reason_FD"/>
    <tableColumn id="24" xr3:uid="{E3649910-19B6-4043-8CD3-F38C5187C343}" name="Source"/>
  </tableColumns>
  <tableStyleInfo name="TableStyleDark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B9FF598-2870-45A5-867A-764005615F04}" name="Table15" displayName="Table15" ref="A1:X41" totalsRowShown="0">
  <autoFilter ref="A1:X41" xr:uid="{4B9FF598-2870-45A5-867A-764005615F04}"/>
  <tableColumns count="24">
    <tableColumn id="1" xr3:uid="{14A72691-F1CB-46B5-9B9C-E55000F058A4}" name="gender"/>
    <tableColumn id="2" xr3:uid="{0C21168C-7324-4ED2-A381-EFE91282D125}" name="age"/>
    <tableColumn id="3" xr3:uid="{2F2DAF70-CC50-4B13-92D8-ED9B5D376F7D}" name="Investment_Avenues"/>
    <tableColumn id="4" xr3:uid="{69522674-FF96-4359-92A4-21372F3272E9}" name="Mutual_Funds"/>
    <tableColumn id="5" xr3:uid="{91244F6B-4E27-4F47-8267-9BAB9017795F}" name="Equity_Market"/>
    <tableColumn id="6" xr3:uid="{1888759D-369E-4B19-AFF6-49107C03C881}" name="Debentures"/>
    <tableColumn id="7" xr3:uid="{3B150155-C069-4D61-89C2-7D4C0672D9AC}" name="Government_Bonds"/>
    <tableColumn id="8" xr3:uid="{8E5DB638-82A4-41FA-A5A8-020F801E6B61}" name="Fixed_Deposits"/>
    <tableColumn id="9" xr3:uid="{772A8E77-7FCA-4B9B-BAD1-0E0DB1ECB62A}" name="PPF"/>
    <tableColumn id="10" xr3:uid="{F312D3EA-3A2D-430C-8495-5397B3AD7252}" name="Gold"/>
    <tableColumn id="11" xr3:uid="{E7D1A04F-A5CE-4BFE-9E8F-C06842C9139E}" name="Stock_Marktet"/>
    <tableColumn id="12" xr3:uid="{5F8BC0BE-EE48-4F19-A8C0-8B4DF9154FE1}" name="Factor"/>
    <tableColumn id="13" xr3:uid="{C59F3BA8-3A52-4B86-B6B9-571193011C4D}" name="Objective"/>
    <tableColumn id="14" xr3:uid="{7A70F66C-ECEC-4E04-9AB3-5481571CB72A}" name="Purpose"/>
    <tableColumn id="15" xr3:uid="{FB7E11B2-8064-4D0B-A6AA-E630C6C2CB91}" name="Duration"/>
    <tableColumn id="16" xr3:uid="{96D35A6A-9B40-4CFD-A249-814A59CAE5B2}" name="Invest_Monitor"/>
    <tableColumn id="17" xr3:uid="{3D114C4B-76C1-42D5-B038-706EAF6D4901}" name="Expect"/>
    <tableColumn id="18" xr3:uid="{DA0CB0CD-809F-4F28-B46A-1B2C119AB344}" name="Avenue"/>
    <tableColumn id="19" xr3:uid="{42CE7B5D-4E78-4044-9089-6017CB90A0DE}" name="What are your savings objectives?"/>
    <tableColumn id="20" xr3:uid="{F7328761-A0D4-4ADD-98EC-1C5C34FBD5ED}" name="Reason_Equity"/>
    <tableColumn id="21" xr3:uid="{3218BDBE-5859-48FE-AEAD-262A87E3E6A6}" name="Reason_Mutual"/>
    <tableColumn id="22" xr3:uid="{009F8A38-1592-400C-BEAA-14307DF2A6DE}" name="Reason_Bonds"/>
    <tableColumn id="23" xr3:uid="{CE399698-F37D-42DB-B776-E7CB62E7B2B3}" name="Reason_FD"/>
    <tableColumn id="24" xr3:uid="{E5B19697-5D0D-4F90-B6E9-0999A9AD40D0}" name="Source"/>
  </tableColumns>
  <tableStyleInfo name="TableStyleDark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15FEC01-86C3-4245-8134-CFCB22698A05}" name="Table16" displayName="Table16" ref="A1:AA41" totalsRowShown="0" headerRowDxfId="28" dataDxfId="27">
  <autoFilter ref="A1:AA41" xr:uid="{E15FEC01-86C3-4245-8134-CFCB22698A05}"/>
  <tableColumns count="27">
    <tableColumn id="1" xr3:uid="{F0AE8B9B-ABCA-48DE-AA02-E28C358D416E}" name="gender" dataDxfId="26"/>
    <tableColumn id="2" xr3:uid="{7D4F1734-C497-4A7F-AA80-061C9826E057}" name=" Duration_number " dataDxfId="25">
      <calculatedColumnFormula>IF(Q2="Less than 1 year",0.5,IF(Q2="More than 5 years",6,(LEFT(Q2,1)+MID(Q2,3,1))/2))</calculatedColumnFormula>
    </tableColumn>
    <tableColumn id="3" xr3:uid="{5C9A38CD-D853-4EE6-A24C-E6213AFBB507}" name="except _number" dataDxfId="24">
      <calculatedColumnFormula>IF(S2="10%-20%",15,IF(S2="20%-30%",25,IF(S2="30%-40%",35,"")))</calculatedColumnFormula>
    </tableColumn>
    <tableColumn id="4" xr3:uid="{241868E3-137F-4380-B6E3-3F1394A40FDA}" name="age" dataDxfId="23"/>
    <tableColumn id="5" xr3:uid="{A9EC43E3-E348-4404-9486-07B93A3F9D66}" name="Investment_Avenues" dataDxfId="22"/>
    <tableColumn id="6" xr3:uid="{3021E5E3-03D9-4742-8D7D-22D3FA891498}" name="Mutual_Funds" dataDxfId="21"/>
    <tableColumn id="7" xr3:uid="{23E31152-EC62-4200-A43A-A4A8F6C9B2A4}" name="Equity_Market" dataDxfId="20"/>
    <tableColumn id="8" xr3:uid="{41258CE3-1295-4B3F-978F-DCB06D3C2D9F}" name="Debentures" dataDxfId="19"/>
    <tableColumn id="9" xr3:uid="{103E891F-B702-4263-952B-0FDECBFC8405}" name="Government_Bonds" dataDxfId="18"/>
    <tableColumn id="10" xr3:uid="{F680F515-024E-4C23-A586-903FCBA52D0E}" name="Fixed_Deposits" dataDxfId="17"/>
    <tableColumn id="11" xr3:uid="{E78F7A2A-B921-4CB8-9072-79D919CE2C47}" name="PPF" dataDxfId="16"/>
    <tableColumn id="12" xr3:uid="{081DE929-8D06-4657-9282-55C68FFD450E}" name="Gold" dataDxfId="15"/>
    <tableColumn id="13" xr3:uid="{C4774B45-197D-4AA2-9E68-1ADC296791D9}" name="Stock_Marktet" dataDxfId="14"/>
    <tableColumn id="14" xr3:uid="{225B3996-9DB0-4E44-8052-58A741810173}" name="Factor" dataDxfId="13"/>
    <tableColumn id="15" xr3:uid="{57EF26A2-2B58-47EC-9DE3-8B402200E516}" name="Objective" dataDxfId="12"/>
    <tableColumn id="16" xr3:uid="{44BC31A4-0F08-4781-B0D5-B6D9A9CED604}" name="Purpose" dataDxfId="11"/>
    <tableColumn id="17" xr3:uid="{9A7BFC8C-CE77-49CA-BCEF-952BFC16B0B4}" name="Duration" dataDxfId="10"/>
    <tableColumn id="18" xr3:uid="{9BB81AF6-7D62-4386-A6C6-880554EB4F1E}" name="Invest_Monitor" dataDxfId="9"/>
    <tableColumn id="19" xr3:uid="{EE09D7FE-C78F-4168-86C9-A7469F234FAE}" name="Expect" dataDxfId="8"/>
    <tableColumn id="20" xr3:uid="{BE7AB93D-9AD4-4DEF-AFEA-9B86E4DC7EEA}" name="expect_number" dataDxfId="7">
      <calculatedColumnFormula>IF(S2="10%-20%",15,IF(S2="20%-30%",25,IF(S2="30%-40%",35,"")))</calculatedColumnFormula>
    </tableColumn>
    <tableColumn id="21" xr3:uid="{7081968F-3205-4596-97FF-B408B33D66F1}" name="Avenue" dataDxfId="6"/>
    <tableColumn id="22" xr3:uid="{5E6B4155-0B2F-455D-8CF2-EF0A797C5FFF}" name="What are your savings objectives?" dataDxfId="5"/>
    <tableColumn id="23" xr3:uid="{957A7784-FBAC-491B-8D42-3730B3BD7F07}" name="Reason_Equity" dataDxfId="4"/>
    <tableColumn id="24" xr3:uid="{F19F9CA7-C4D8-4930-8130-8C486F5CAE82}" name="Reason_Mutual" dataDxfId="3"/>
    <tableColumn id="25" xr3:uid="{347E8519-DE30-4257-82E4-303B14D3BE22}" name="Reason_Bonds" dataDxfId="2"/>
    <tableColumn id="26" xr3:uid="{58F3A5A4-CCA8-4C71-B2EA-A4B95CB4F63F}" name="Reason_FD" dataDxfId="1"/>
    <tableColumn id="27" xr3:uid="{E8754588-7184-4312-AAC0-45C9160ECC96}" name="Source" dataDxfId="0"/>
  </tableColumns>
  <tableStyleInfo name="TableStyleMedium2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4569B-05E8-47F6-8D1C-F6AF5AFF37B3}">
  <dimension ref="A1:V109"/>
  <sheetViews>
    <sheetView showGridLines="0" tabSelected="1" zoomScale="66" zoomScaleNormal="66" workbookViewId="0">
      <selection activeCell="Y12" sqref="Y12"/>
    </sheetView>
  </sheetViews>
  <sheetFormatPr defaultRowHeight="14.4" x14ac:dyDescent="0.3"/>
  <cols>
    <col min="1" max="6" width="8.88671875" style="8"/>
    <col min="7" max="7" width="9.5546875" style="8" customWidth="1"/>
    <col min="8" max="8" width="22.109375" style="8" customWidth="1"/>
    <col min="9" max="21" width="8.88671875" style="8"/>
    <col min="22" max="22" width="33.6640625" style="8" customWidth="1"/>
    <col min="23" max="16384" width="8.88671875" style="8"/>
  </cols>
  <sheetData>
    <row r="1" spans="1:22" ht="25.8" x14ac:dyDescent="0.5">
      <c r="A1" s="6"/>
      <c r="B1" s="6"/>
      <c r="C1" s="6"/>
      <c r="D1" s="6"/>
      <c r="E1" s="6"/>
      <c r="F1" s="6"/>
      <c r="G1" s="6"/>
      <c r="H1" s="7"/>
      <c r="I1" s="12" t="s">
        <v>93</v>
      </c>
      <c r="J1" s="12"/>
      <c r="K1" s="12"/>
      <c r="L1" s="12"/>
      <c r="M1" s="12"/>
      <c r="N1" s="12"/>
      <c r="O1" s="12"/>
      <c r="P1" s="12"/>
      <c r="Q1" s="12"/>
      <c r="R1" s="12"/>
      <c r="S1" s="12"/>
      <c r="T1" s="12"/>
      <c r="U1" s="12"/>
      <c r="V1" s="12"/>
    </row>
    <row r="2" spans="1:22" x14ac:dyDescent="0.3">
      <c r="I2" s="12"/>
      <c r="J2" s="12"/>
      <c r="K2" s="12"/>
      <c r="L2" s="12"/>
      <c r="M2" s="12"/>
      <c r="N2" s="12"/>
      <c r="O2" s="12"/>
      <c r="P2" s="12"/>
      <c r="Q2" s="12"/>
      <c r="R2" s="12"/>
      <c r="S2" s="12"/>
      <c r="T2" s="12"/>
      <c r="U2" s="12"/>
      <c r="V2" s="12"/>
    </row>
    <row r="3" spans="1:22" x14ac:dyDescent="0.3">
      <c r="I3" s="12"/>
      <c r="J3" s="12"/>
      <c r="K3" s="12"/>
      <c r="L3" s="12"/>
      <c r="M3" s="12"/>
      <c r="N3" s="12"/>
      <c r="O3" s="12"/>
      <c r="P3" s="12"/>
      <c r="Q3" s="12"/>
      <c r="R3" s="12"/>
      <c r="S3" s="12"/>
      <c r="T3" s="12"/>
      <c r="U3" s="12"/>
      <c r="V3" s="12"/>
    </row>
    <row r="6" spans="1:22" ht="14.4" customHeight="1" x14ac:dyDescent="0.3">
      <c r="A6" s="13" t="s">
        <v>94</v>
      </c>
      <c r="B6" s="13"/>
      <c r="C6" s="13"/>
      <c r="D6" s="13"/>
      <c r="E6" s="13"/>
      <c r="F6" s="13"/>
      <c r="G6" s="13"/>
      <c r="M6" s="11" t="s">
        <v>95</v>
      </c>
      <c r="N6" s="11"/>
      <c r="O6" s="11"/>
      <c r="P6" s="11"/>
      <c r="Q6" s="11"/>
      <c r="R6" s="11"/>
      <c r="S6" s="11"/>
      <c r="T6" s="11"/>
      <c r="U6" s="11"/>
      <c r="V6" s="11"/>
    </row>
    <row r="7" spans="1:22" ht="14.4" customHeight="1" x14ac:dyDescent="0.3">
      <c r="A7" s="13"/>
      <c r="B7" s="13"/>
      <c r="C7" s="13"/>
      <c r="D7" s="13"/>
      <c r="E7" s="13"/>
      <c r="F7" s="13"/>
      <c r="G7" s="13"/>
      <c r="M7" s="11"/>
      <c r="N7" s="11"/>
      <c r="O7" s="11"/>
      <c r="P7" s="11"/>
      <c r="Q7" s="11"/>
      <c r="R7" s="11"/>
      <c r="S7" s="11"/>
      <c r="T7" s="11"/>
      <c r="U7" s="11"/>
      <c r="V7" s="11"/>
    </row>
    <row r="8" spans="1:22" ht="14.4" customHeight="1" x14ac:dyDescent="0.45">
      <c r="A8" s="10" t="s">
        <v>92</v>
      </c>
      <c r="B8" s="10"/>
      <c r="C8" s="10"/>
      <c r="D8" s="10"/>
      <c r="E8" s="10"/>
      <c r="F8" s="10"/>
      <c r="G8" s="10"/>
      <c r="H8" s="10"/>
      <c r="M8" s="9"/>
      <c r="N8" s="9"/>
      <c r="O8" s="9"/>
      <c r="P8" s="9"/>
      <c r="Q8" s="9"/>
      <c r="R8" s="9"/>
      <c r="S8" s="9"/>
      <c r="T8" s="9"/>
      <c r="U8" s="9"/>
      <c r="V8" s="9"/>
    </row>
    <row r="9" spans="1:22" ht="14.4" customHeight="1" x14ac:dyDescent="0.45">
      <c r="A9" s="10"/>
      <c r="B9" s="10"/>
      <c r="C9" s="10"/>
      <c r="D9" s="10"/>
      <c r="E9" s="10"/>
      <c r="F9" s="10"/>
      <c r="G9" s="10"/>
      <c r="H9" s="10"/>
    </row>
    <row r="10" spans="1:22" ht="14.4" customHeight="1" x14ac:dyDescent="0.45">
      <c r="A10" s="10"/>
      <c r="B10" s="10"/>
      <c r="C10" s="10"/>
      <c r="D10" s="10"/>
      <c r="E10" s="10"/>
      <c r="F10" s="10"/>
      <c r="G10" s="10"/>
      <c r="H10" s="10"/>
    </row>
    <row r="11" spans="1:22" ht="23.4" x14ac:dyDescent="0.45">
      <c r="A11" s="10" t="s">
        <v>92</v>
      </c>
      <c r="B11" s="10"/>
      <c r="C11" s="10"/>
      <c r="D11" s="10"/>
      <c r="E11" s="10"/>
      <c r="F11" s="10"/>
      <c r="G11" s="10"/>
      <c r="H11" s="10"/>
    </row>
    <row r="12" spans="1:22" ht="23.4" x14ac:dyDescent="0.45">
      <c r="A12" s="10"/>
      <c r="B12" s="10"/>
      <c r="C12" s="10"/>
      <c r="D12" s="10"/>
      <c r="E12" s="10"/>
      <c r="F12" s="10"/>
      <c r="G12" s="10"/>
      <c r="H12" s="10"/>
    </row>
    <row r="42" spans="1:8" x14ac:dyDescent="0.3">
      <c r="A42" s="11" t="s">
        <v>96</v>
      </c>
      <c r="B42" s="11"/>
      <c r="C42" s="11"/>
      <c r="D42" s="11"/>
      <c r="E42" s="11"/>
      <c r="F42" s="11"/>
      <c r="G42" s="11"/>
      <c r="H42" s="11"/>
    </row>
    <row r="43" spans="1:8" x14ac:dyDescent="0.3">
      <c r="A43" s="11"/>
      <c r="B43" s="11"/>
      <c r="C43" s="11"/>
      <c r="D43" s="11"/>
      <c r="E43" s="11"/>
      <c r="F43" s="11"/>
      <c r="G43" s="11"/>
      <c r="H43" s="11"/>
    </row>
    <row r="74" spans="1:8" x14ac:dyDescent="0.3">
      <c r="A74" s="11" t="s">
        <v>97</v>
      </c>
      <c r="B74" s="11"/>
      <c r="C74" s="11"/>
      <c r="D74" s="11"/>
      <c r="E74" s="11"/>
      <c r="F74" s="11"/>
      <c r="G74" s="11"/>
      <c r="H74" s="11"/>
    </row>
    <row r="75" spans="1:8" x14ac:dyDescent="0.3">
      <c r="A75" s="11"/>
      <c r="B75" s="11"/>
      <c r="C75" s="11"/>
      <c r="D75" s="11"/>
      <c r="E75" s="11"/>
      <c r="F75" s="11"/>
      <c r="G75" s="11"/>
      <c r="H75" s="11"/>
    </row>
    <row r="101" spans="1:22" x14ac:dyDescent="0.3">
      <c r="A101" s="11" t="s">
        <v>98</v>
      </c>
      <c r="B101" s="11"/>
      <c r="C101" s="11"/>
      <c r="D101" s="11"/>
      <c r="E101" s="11"/>
      <c r="F101" s="11"/>
      <c r="G101" s="11"/>
      <c r="H101" s="11"/>
    </row>
    <row r="102" spans="1:22" x14ac:dyDescent="0.3">
      <c r="A102" s="11"/>
      <c r="B102" s="11"/>
      <c r="C102" s="11"/>
      <c r="D102" s="11"/>
      <c r="E102" s="11"/>
      <c r="F102" s="11"/>
      <c r="G102" s="11"/>
      <c r="H102" s="11"/>
    </row>
    <row r="105" spans="1:22" ht="23.4" x14ac:dyDescent="0.45">
      <c r="A105" s="10" t="s">
        <v>92</v>
      </c>
      <c r="B105" s="10"/>
      <c r="C105" s="10"/>
      <c r="D105" s="10"/>
      <c r="E105" s="10"/>
      <c r="F105" s="10"/>
      <c r="G105" s="10"/>
      <c r="H105" s="10"/>
      <c r="M105" s="9"/>
      <c r="N105" s="9"/>
      <c r="O105" s="9"/>
      <c r="P105" s="9"/>
      <c r="Q105" s="9"/>
      <c r="R105" s="9"/>
      <c r="S105" s="9"/>
      <c r="T105" s="9"/>
      <c r="U105" s="9"/>
      <c r="V105" s="9"/>
    </row>
    <row r="106" spans="1:22" ht="23.4" x14ac:dyDescent="0.45">
      <c r="A106" s="10"/>
      <c r="B106" s="10"/>
      <c r="C106" s="10"/>
      <c r="D106" s="10"/>
      <c r="E106" s="10"/>
      <c r="F106" s="10"/>
      <c r="G106" s="10"/>
      <c r="H106" s="10"/>
    </row>
    <row r="107" spans="1:22" ht="23.4" x14ac:dyDescent="0.45">
      <c r="A107" s="10"/>
      <c r="B107" s="10"/>
      <c r="C107" s="10"/>
      <c r="D107" s="10"/>
      <c r="E107" s="10"/>
      <c r="F107" s="10"/>
      <c r="G107" s="10"/>
      <c r="H107" s="10"/>
    </row>
    <row r="108" spans="1:22" ht="23.4" x14ac:dyDescent="0.45">
      <c r="A108" s="10" t="s">
        <v>92</v>
      </c>
      <c r="B108" s="10"/>
      <c r="C108" s="10"/>
      <c r="D108" s="10"/>
      <c r="E108" s="10"/>
      <c r="F108" s="10"/>
      <c r="G108" s="10"/>
      <c r="H108" s="10"/>
    </row>
    <row r="109" spans="1:22" ht="23.4" x14ac:dyDescent="0.45">
      <c r="A109" s="10"/>
      <c r="B109" s="10"/>
      <c r="C109" s="10"/>
      <c r="D109" s="10"/>
      <c r="E109" s="10"/>
      <c r="F109" s="10"/>
      <c r="G109" s="10"/>
      <c r="H109" s="10"/>
    </row>
  </sheetData>
  <mergeCells count="6">
    <mergeCell ref="A42:H43"/>
    <mergeCell ref="A74:H75"/>
    <mergeCell ref="A101:H102"/>
    <mergeCell ref="I1:V3"/>
    <mergeCell ref="A6:G7"/>
    <mergeCell ref="M6:V7"/>
  </mergeCells>
  <phoneticPr fontId="9"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D6BB5-8825-4EC1-AC2F-855C61521BA3}">
  <dimension ref="A1:AA41"/>
  <sheetViews>
    <sheetView topLeftCell="T11" zoomScale="87" workbookViewId="0">
      <selection activeCell="AF36" sqref="AF36"/>
    </sheetView>
  </sheetViews>
  <sheetFormatPr defaultRowHeight="14.4" x14ac:dyDescent="0.3"/>
  <cols>
    <col min="2" max="2" width="6.109375" bestFit="1" customWidth="1"/>
    <col min="3" max="3" width="20.44140625" bestFit="1" customWidth="1"/>
    <col min="4" max="4" width="14.6640625" bestFit="1" customWidth="1"/>
    <col min="5" max="5" width="15" bestFit="1" customWidth="1"/>
    <col min="6" max="6" width="12.77734375" bestFit="1" customWidth="1"/>
    <col min="7" max="7" width="19.5546875" bestFit="1" customWidth="1"/>
    <col min="8" max="8" width="16" bestFit="1" customWidth="1"/>
    <col min="10" max="10" width="7.21875" bestFit="1" customWidth="1"/>
    <col min="11" max="11" width="15.33203125" bestFit="1" customWidth="1"/>
    <col min="12" max="12" width="12.6640625" bestFit="1" customWidth="1"/>
    <col min="13" max="13" width="17.44140625" bestFit="1" customWidth="1"/>
    <col min="14" max="14" width="15.21875" bestFit="1" customWidth="1"/>
    <col min="15" max="15" width="15.109375" bestFit="1" customWidth="1"/>
    <col min="16" max="16" width="15.44140625" bestFit="1" customWidth="1"/>
    <col min="18" max="18" width="18.44140625" bestFit="1" customWidth="1"/>
    <col min="19" max="19" width="31.21875" bestFit="1" customWidth="1"/>
    <col min="20" max="20" width="17.44140625" bestFit="1" customWidth="1"/>
    <col min="21" max="21" width="16.88671875" bestFit="1" customWidth="1"/>
    <col min="22" max="22" width="15.109375" bestFit="1" customWidth="1"/>
    <col min="23" max="23" width="16.109375" bestFit="1" customWidth="1"/>
    <col min="24" max="24" width="23.5546875" bestFit="1" customWidth="1"/>
    <col min="26" max="26" width="12.77734375" bestFit="1" customWidth="1"/>
    <col min="27" max="27" width="14" bestFit="1" customWidth="1"/>
  </cols>
  <sheetData>
    <row r="1" spans="1:2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7" x14ac:dyDescent="0.3">
      <c r="A2" t="s">
        <v>24</v>
      </c>
      <c r="B2">
        <v>34</v>
      </c>
      <c r="C2" t="s">
        <v>25</v>
      </c>
      <c r="D2">
        <v>1</v>
      </c>
      <c r="E2">
        <v>2</v>
      </c>
      <c r="F2">
        <v>5</v>
      </c>
      <c r="G2">
        <v>3</v>
      </c>
      <c r="H2">
        <v>7</v>
      </c>
      <c r="I2">
        <v>6</v>
      </c>
      <c r="J2">
        <v>4</v>
      </c>
      <c r="K2" t="s">
        <v>25</v>
      </c>
      <c r="L2" t="s">
        <v>26</v>
      </c>
      <c r="M2" t="s">
        <v>27</v>
      </c>
      <c r="N2" t="s">
        <v>28</v>
      </c>
      <c r="O2" t="s">
        <v>29</v>
      </c>
      <c r="P2" t="s">
        <v>30</v>
      </c>
      <c r="Q2" t="s">
        <v>31</v>
      </c>
      <c r="R2" t="s">
        <v>32</v>
      </c>
      <c r="S2" t="s">
        <v>33</v>
      </c>
      <c r="T2" t="s">
        <v>27</v>
      </c>
      <c r="U2" t="s">
        <v>34</v>
      </c>
      <c r="V2" t="s">
        <v>35</v>
      </c>
      <c r="W2" t="s">
        <v>36</v>
      </c>
      <c r="X2" t="s">
        <v>37</v>
      </c>
      <c r="Z2" s="2" t="s">
        <v>68</v>
      </c>
      <c r="AA2" t="s">
        <v>69</v>
      </c>
    </row>
    <row r="3" spans="1:27" x14ac:dyDescent="0.3">
      <c r="A3" t="s">
        <v>24</v>
      </c>
      <c r="B3">
        <v>23</v>
      </c>
      <c r="C3" t="s">
        <v>25</v>
      </c>
      <c r="D3">
        <v>4</v>
      </c>
      <c r="E3">
        <v>3</v>
      </c>
      <c r="F3">
        <v>2</v>
      </c>
      <c r="G3">
        <v>1</v>
      </c>
      <c r="H3">
        <v>5</v>
      </c>
      <c r="I3">
        <v>6</v>
      </c>
      <c r="J3">
        <v>7</v>
      </c>
      <c r="K3" t="s">
        <v>38</v>
      </c>
      <c r="L3" t="s">
        <v>39</v>
      </c>
      <c r="M3" t="s">
        <v>27</v>
      </c>
      <c r="N3" t="s">
        <v>28</v>
      </c>
      <c r="O3" t="s">
        <v>40</v>
      </c>
      <c r="P3" t="s">
        <v>41</v>
      </c>
      <c r="Q3" t="s">
        <v>31</v>
      </c>
      <c r="R3" t="s">
        <v>32</v>
      </c>
      <c r="S3" t="s">
        <v>42</v>
      </c>
      <c r="T3" t="s">
        <v>43</v>
      </c>
      <c r="U3" t="s">
        <v>34</v>
      </c>
      <c r="V3" t="s">
        <v>35</v>
      </c>
      <c r="W3" t="s">
        <v>44</v>
      </c>
      <c r="X3" t="s">
        <v>45</v>
      </c>
      <c r="Z3" s="1" t="s">
        <v>24</v>
      </c>
      <c r="AA3">
        <v>15</v>
      </c>
    </row>
    <row r="4" spans="1:27" x14ac:dyDescent="0.3">
      <c r="A4" t="s">
        <v>46</v>
      </c>
      <c r="B4">
        <v>30</v>
      </c>
      <c r="C4" t="s">
        <v>25</v>
      </c>
      <c r="D4">
        <v>3</v>
      </c>
      <c r="E4">
        <v>6</v>
      </c>
      <c r="F4">
        <v>4</v>
      </c>
      <c r="G4">
        <v>2</v>
      </c>
      <c r="H4">
        <v>5</v>
      </c>
      <c r="I4">
        <v>1</v>
      </c>
      <c r="J4">
        <v>7</v>
      </c>
      <c r="K4" t="s">
        <v>25</v>
      </c>
      <c r="L4" t="s">
        <v>26</v>
      </c>
      <c r="M4" t="s">
        <v>27</v>
      </c>
      <c r="N4" t="s">
        <v>28</v>
      </c>
      <c r="O4" t="s">
        <v>47</v>
      </c>
      <c r="P4" t="s">
        <v>48</v>
      </c>
      <c r="Q4" t="s">
        <v>31</v>
      </c>
      <c r="R4" t="s">
        <v>49</v>
      </c>
      <c r="S4" t="s">
        <v>33</v>
      </c>
      <c r="T4" t="s">
        <v>27</v>
      </c>
      <c r="U4" t="s">
        <v>50</v>
      </c>
      <c r="V4" t="s">
        <v>51</v>
      </c>
      <c r="W4" t="s">
        <v>36</v>
      </c>
      <c r="X4" t="s">
        <v>52</v>
      </c>
      <c r="Z4" s="1" t="s">
        <v>46</v>
      </c>
      <c r="AA4">
        <v>25</v>
      </c>
    </row>
    <row r="5" spans="1:27" x14ac:dyDescent="0.3">
      <c r="A5" t="s">
        <v>46</v>
      </c>
      <c r="B5">
        <v>22</v>
      </c>
      <c r="C5" t="s">
        <v>25</v>
      </c>
      <c r="D5">
        <v>2</v>
      </c>
      <c r="E5">
        <v>1</v>
      </c>
      <c r="F5">
        <v>3</v>
      </c>
      <c r="G5">
        <v>7</v>
      </c>
      <c r="H5">
        <v>6</v>
      </c>
      <c r="I5">
        <v>4</v>
      </c>
      <c r="J5">
        <v>5</v>
      </c>
      <c r="K5" t="s">
        <v>25</v>
      </c>
      <c r="L5" t="s">
        <v>26</v>
      </c>
      <c r="M5" t="s">
        <v>53</v>
      </c>
      <c r="N5" t="s">
        <v>28</v>
      </c>
      <c r="O5" t="s">
        <v>54</v>
      </c>
      <c r="P5" t="s">
        <v>48</v>
      </c>
      <c r="Q5" t="s">
        <v>55</v>
      </c>
      <c r="R5" t="s">
        <v>49</v>
      </c>
      <c r="S5" t="s">
        <v>33</v>
      </c>
      <c r="T5" t="s">
        <v>43</v>
      </c>
      <c r="U5" t="s">
        <v>56</v>
      </c>
      <c r="V5" t="s">
        <v>57</v>
      </c>
      <c r="W5" t="s">
        <v>44</v>
      </c>
      <c r="X5" t="s">
        <v>58</v>
      </c>
      <c r="Z5" s="1" t="s">
        <v>70</v>
      </c>
      <c r="AA5">
        <v>40</v>
      </c>
    </row>
    <row r="6" spans="1:27" x14ac:dyDescent="0.3">
      <c r="A6" t="s">
        <v>24</v>
      </c>
      <c r="B6">
        <v>24</v>
      </c>
      <c r="C6" t="s">
        <v>38</v>
      </c>
      <c r="D6">
        <v>2</v>
      </c>
      <c r="E6">
        <v>1</v>
      </c>
      <c r="F6">
        <v>3</v>
      </c>
      <c r="G6">
        <v>6</v>
      </c>
      <c r="H6">
        <v>4</v>
      </c>
      <c r="I6">
        <v>5</v>
      </c>
      <c r="J6">
        <v>7</v>
      </c>
      <c r="K6" t="s">
        <v>38</v>
      </c>
      <c r="L6" t="s">
        <v>26</v>
      </c>
      <c r="M6" t="s">
        <v>53</v>
      </c>
      <c r="N6" t="s">
        <v>28</v>
      </c>
      <c r="O6" t="s">
        <v>54</v>
      </c>
      <c r="P6" t="s">
        <v>48</v>
      </c>
      <c r="Q6" t="s">
        <v>31</v>
      </c>
      <c r="R6" t="s">
        <v>49</v>
      </c>
      <c r="S6" t="s">
        <v>33</v>
      </c>
      <c r="T6" t="s">
        <v>27</v>
      </c>
      <c r="U6" t="s">
        <v>34</v>
      </c>
      <c r="V6" t="s">
        <v>35</v>
      </c>
      <c r="W6" t="s">
        <v>59</v>
      </c>
      <c r="X6" t="s">
        <v>58</v>
      </c>
    </row>
    <row r="7" spans="1:27" x14ac:dyDescent="0.3">
      <c r="A7" t="s">
        <v>24</v>
      </c>
      <c r="B7">
        <v>24</v>
      </c>
      <c r="C7" t="s">
        <v>38</v>
      </c>
      <c r="D7">
        <v>7</v>
      </c>
      <c r="E7">
        <v>5</v>
      </c>
      <c r="F7">
        <v>4</v>
      </c>
      <c r="G7">
        <v>6</v>
      </c>
      <c r="H7">
        <v>3</v>
      </c>
      <c r="I7">
        <v>1</v>
      </c>
      <c r="J7">
        <v>2</v>
      </c>
      <c r="K7" t="s">
        <v>38</v>
      </c>
      <c r="L7" t="s">
        <v>60</v>
      </c>
      <c r="M7" t="s">
        <v>27</v>
      </c>
      <c r="N7" t="s">
        <v>28</v>
      </c>
      <c r="O7" t="s">
        <v>29</v>
      </c>
      <c r="P7" t="s">
        <v>48</v>
      </c>
      <c r="Q7" t="s">
        <v>61</v>
      </c>
      <c r="R7" t="s">
        <v>32</v>
      </c>
      <c r="S7" t="s">
        <v>33</v>
      </c>
      <c r="T7" t="s">
        <v>62</v>
      </c>
      <c r="U7" t="s">
        <v>56</v>
      </c>
      <c r="V7" t="s">
        <v>35</v>
      </c>
      <c r="W7" t="s">
        <v>59</v>
      </c>
      <c r="X7" t="s">
        <v>58</v>
      </c>
    </row>
    <row r="8" spans="1:27" x14ac:dyDescent="0.3">
      <c r="A8" t="s">
        <v>24</v>
      </c>
      <c r="B8">
        <v>27</v>
      </c>
      <c r="C8" t="s">
        <v>25</v>
      </c>
      <c r="D8">
        <v>3</v>
      </c>
      <c r="E8">
        <v>6</v>
      </c>
      <c r="F8">
        <v>4</v>
      </c>
      <c r="G8">
        <v>2</v>
      </c>
      <c r="H8">
        <v>5</v>
      </c>
      <c r="I8">
        <v>1</v>
      </c>
      <c r="J8">
        <v>7</v>
      </c>
      <c r="K8" t="s">
        <v>25</v>
      </c>
      <c r="L8" t="s">
        <v>26</v>
      </c>
      <c r="M8" t="s">
        <v>27</v>
      </c>
      <c r="N8" t="s">
        <v>28</v>
      </c>
      <c r="O8" t="s">
        <v>47</v>
      </c>
      <c r="P8" t="s">
        <v>30</v>
      </c>
      <c r="Q8" t="s">
        <v>31</v>
      </c>
      <c r="R8" t="s">
        <v>49</v>
      </c>
      <c r="S8" t="s">
        <v>33</v>
      </c>
      <c r="T8" t="s">
        <v>27</v>
      </c>
      <c r="U8" t="s">
        <v>34</v>
      </c>
      <c r="V8" t="s">
        <v>51</v>
      </c>
      <c r="W8" t="s">
        <v>44</v>
      </c>
      <c r="X8" t="s">
        <v>45</v>
      </c>
    </row>
    <row r="9" spans="1:27" x14ac:dyDescent="0.3">
      <c r="A9" t="s">
        <v>46</v>
      </c>
      <c r="B9">
        <v>21</v>
      </c>
      <c r="C9" t="s">
        <v>25</v>
      </c>
      <c r="D9">
        <v>2</v>
      </c>
      <c r="E9">
        <v>3</v>
      </c>
      <c r="F9">
        <v>7</v>
      </c>
      <c r="G9">
        <v>4</v>
      </c>
      <c r="H9">
        <v>6</v>
      </c>
      <c r="I9">
        <v>1</v>
      </c>
      <c r="J9">
        <v>5</v>
      </c>
      <c r="K9" t="s">
        <v>25</v>
      </c>
      <c r="L9" t="s">
        <v>60</v>
      </c>
      <c r="M9" t="s">
        <v>27</v>
      </c>
      <c r="N9" t="s">
        <v>28</v>
      </c>
      <c r="O9" t="s">
        <v>47</v>
      </c>
      <c r="P9" t="s">
        <v>30</v>
      </c>
      <c r="Q9" t="s">
        <v>31</v>
      </c>
      <c r="R9" t="s">
        <v>32</v>
      </c>
      <c r="S9" t="s">
        <v>33</v>
      </c>
      <c r="T9" t="s">
        <v>27</v>
      </c>
      <c r="U9" t="s">
        <v>34</v>
      </c>
      <c r="V9" t="s">
        <v>51</v>
      </c>
      <c r="W9" t="s">
        <v>59</v>
      </c>
      <c r="X9" t="s">
        <v>37</v>
      </c>
    </row>
    <row r="10" spans="1:27" x14ac:dyDescent="0.3">
      <c r="A10" t="s">
        <v>46</v>
      </c>
      <c r="B10">
        <v>35</v>
      </c>
      <c r="C10" t="s">
        <v>25</v>
      </c>
      <c r="D10">
        <v>2</v>
      </c>
      <c r="E10">
        <v>4</v>
      </c>
      <c r="F10">
        <v>7</v>
      </c>
      <c r="G10">
        <v>5</v>
      </c>
      <c r="H10">
        <v>3</v>
      </c>
      <c r="I10">
        <v>1</v>
      </c>
      <c r="J10">
        <v>6</v>
      </c>
      <c r="K10" t="s">
        <v>25</v>
      </c>
      <c r="L10" t="s">
        <v>26</v>
      </c>
      <c r="M10" t="s">
        <v>63</v>
      </c>
      <c r="N10" t="s">
        <v>64</v>
      </c>
      <c r="O10" t="s">
        <v>29</v>
      </c>
      <c r="P10" t="s">
        <v>41</v>
      </c>
      <c r="Q10" t="s">
        <v>31</v>
      </c>
      <c r="R10" t="s">
        <v>49</v>
      </c>
      <c r="S10" t="s">
        <v>33</v>
      </c>
      <c r="T10" t="s">
        <v>27</v>
      </c>
      <c r="U10" t="s">
        <v>56</v>
      </c>
      <c r="V10" t="s">
        <v>35</v>
      </c>
      <c r="W10" t="s">
        <v>36</v>
      </c>
      <c r="X10" t="s">
        <v>52</v>
      </c>
    </row>
    <row r="11" spans="1:27" x14ac:dyDescent="0.3">
      <c r="A11" t="s">
        <v>46</v>
      </c>
      <c r="B11">
        <v>31</v>
      </c>
      <c r="C11" t="s">
        <v>25</v>
      </c>
      <c r="D11">
        <v>1</v>
      </c>
      <c r="E11">
        <v>3</v>
      </c>
      <c r="F11">
        <v>7</v>
      </c>
      <c r="G11">
        <v>4</v>
      </c>
      <c r="H11">
        <v>5</v>
      </c>
      <c r="I11">
        <v>2</v>
      </c>
      <c r="J11">
        <v>6</v>
      </c>
      <c r="K11" t="s">
        <v>25</v>
      </c>
      <c r="L11" t="s">
        <v>26</v>
      </c>
      <c r="M11" t="s">
        <v>27</v>
      </c>
      <c r="N11" t="s">
        <v>28</v>
      </c>
      <c r="O11" t="s">
        <v>47</v>
      </c>
      <c r="P11" t="s">
        <v>30</v>
      </c>
      <c r="Q11" t="s">
        <v>61</v>
      </c>
      <c r="R11" t="s">
        <v>65</v>
      </c>
      <c r="S11" t="s">
        <v>33</v>
      </c>
      <c r="T11" t="s">
        <v>27</v>
      </c>
      <c r="U11" t="s">
        <v>56</v>
      </c>
      <c r="V11" t="s">
        <v>51</v>
      </c>
      <c r="W11" t="s">
        <v>36</v>
      </c>
      <c r="X11" t="s">
        <v>37</v>
      </c>
    </row>
    <row r="12" spans="1:27" x14ac:dyDescent="0.3">
      <c r="A12" t="s">
        <v>24</v>
      </c>
      <c r="B12">
        <v>35</v>
      </c>
      <c r="C12" t="s">
        <v>25</v>
      </c>
      <c r="D12">
        <v>2</v>
      </c>
      <c r="E12">
        <v>4</v>
      </c>
      <c r="F12">
        <v>7</v>
      </c>
      <c r="G12">
        <v>5</v>
      </c>
      <c r="H12">
        <v>3</v>
      </c>
      <c r="I12">
        <v>1</v>
      </c>
      <c r="J12">
        <v>6</v>
      </c>
      <c r="K12" t="s">
        <v>25</v>
      </c>
      <c r="L12" t="s">
        <v>60</v>
      </c>
      <c r="M12" t="s">
        <v>63</v>
      </c>
      <c r="N12" t="s">
        <v>64</v>
      </c>
      <c r="O12" t="s">
        <v>47</v>
      </c>
      <c r="P12" t="s">
        <v>30</v>
      </c>
      <c r="Q12" t="s">
        <v>31</v>
      </c>
      <c r="R12" t="s">
        <v>32</v>
      </c>
      <c r="S12" t="s">
        <v>33</v>
      </c>
      <c r="T12" t="s">
        <v>27</v>
      </c>
      <c r="U12" t="s">
        <v>34</v>
      </c>
      <c r="V12" t="s">
        <v>51</v>
      </c>
      <c r="W12" t="s">
        <v>59</v>
      </c>
      <c r="X12" t="s">
        <v>45</v>
      </c>
    </row>
    <row r="13" spans="1:27" x14ac:dyDescent="0.3">
      <c r="A13" t="s">
        <v>46</v>
      </c>
      <c r="B13">
        <v>29</v>
      </c>
      <c r="C13" t="s">
        <v>25</v>
      </c>
      <c r="D13">
        <v>2</v>
      </c>
      <c r="E13">
        <v>5</v>
      </c>
      <c r="F13">
        <v>7</v>
      </c>
      <c r="G13">
        <v>6</v>
      </c>
      <c r="H13">
        <v>3</v>
      </c>
      <c r="I13">
        <v>1</v>
      </c>
      <c r="J13">
        <v>4</v>
      </c>
      <c r="K13" t="s">
        <v>25</v>
      </c>
      <c r="L13" t="s">
        <v>60</v>
      </c>
      <c r="M13" t="s">
        <v>27</v>
      </c>
      <c r="N13" t="s">
        <v>28</v>
      </c>
      <c r="O13" t="s">
        <v>29</v>
      </c>
      <c r="P13" t="s">
        <v>30</v>
      </c>
      <c r="Q13" t="s">
        <v>31</v>
      </c>
      <c r="R13" t="s">
        <v>32</v>
      </c>
      <c r="S13" t="s">
        <v>33</v>
      </c>
      <c r="T13" t="s">
        <v>27</v>
      </c>
      <c r="U13" t="s">
        <v>56</v>
      </c>
      <c r="V13" t="s">
        <v>51</v>
      </c>
      <c r="W13" t="s">
        <v>36</v>
      </c>
      <c r="X13" t="s">
        <v>45</v>
      </c>
    </row>
    <row r="14" spans="1:27" x14ac:dyDescent="0.3">
      <c r="A14" t="s">
        <v>24</v>
      </c>
      <c r="B14">
        <v>21</v>
      </c>
      <c r="C14" t="s">
        <v>38</v>
      </c>
      <c r="D14">
        <v>1</v>
      </c>
      <c r="E14">
        <v>2</v>
      </c>
      <c r="F14">
        <v>3</v>
      </c>
      <c r="G14">
        <v>4</v>
      </c>
      <c r="H14">
        <v>5</v>
      </c>
      <c r="I14">
        <v>6</v>
      </c>
      <c r="J14">
        <v>7</v>
      </c>
      <c r="K14" t="s">
        <v>38</v>
      </c>
      <c r="L14" t="s">
        <v>26</v>
      </c>
      <c r="M14" t="s">
        <v>27</v>
      </c>
      <c r="N14" t="s">
        <v>64</v>
      </c>
      <c r="O14" t="s">
        <v>29</v>
      </c>
      <c r="P14" t="s">
        <v>41</v>
      </c>
      <c r="Q14" t="s">
        <v>31</v>
      </c>
      <c r="R14" t="s">
        <v>32</v>
      </c>
      <c r="S14" t="s">
        <v>66</v>
      </c>
      <c r="T14" t="s">
        <v>43</v>
      </c>
      <c r="U14" t="s">
        <v>34</v>
      </c>
      <c r="V14" t="s">
        <v>35</v>
      </c>
      <c r="W14" t="s">
        <v>59</v>
      </c>
      <c r="X14" t="s">
        <v>58</v>
      </c>
    </row>
    <row r="15" spans="1:27" x14ac:dyDescent="0.3">
      <c r="A15" t="s">
        <v>24</v>
      </c>
      <c r="B15">
        <v>28</v>
      </c>
      <c r="C15" t="s">
        <v>25</v>
      </c>
      <c r="D15">
        <v>2</v>
      </c>
      <c r="E15">
        <v>3</v>
      </c>
      <c r="F15">
        <v>7</v>
      </c>
      <c r="G15">
        <v>4</v>
      </c>
      <c r="H15">
        <v>5</v>
      </c>
      <c r="I15">
        <v>1</v>
      </c>
      <c r="J15">
        <v>6</v>
      </c>
      <c r="K15" t="s">
        <v>25</v>
      </c>
      <c r="L15" t="s">
        <v>26</v>
      </c>
      <c r="M15" t="s">
        <v>27</v>
      </c>
      <c r="N15" t="s">
        <v>28</v>
      </c>
      <c r="O15" t="s">
        <v>29</v>
      </c>
      <c r="P15" t="s">
        <v>30</v>
      </c>
      <c r="Q15" t="s">
        <v>31</v>
      </c>
      <c r="R15" t="s">
        <v>32</v>
      </c>
      <c r="S15" t="s">
        <v>33</v>
      </c>
      <c r="T15" t="s">
        <v>27</v>
      </c>
      <c r="U15" t="s">
        <v>56</v>
      </c>
      <c r="V15" t="s">
        <v>51</v>
      </c>
      <c r="W15" t="s">
        <v>59</v>
      </c>
      <c r="X15" t="s">
        <v>37</v>
      </c>
    </row>
    <row r="16" spans="1:27" x14ac:dyDescent="0.3">
      <c r="A16" t="s">
        <v>24</v>
      </c>
      <c r="B16">
        <v>25</v>
      </c>
      <c r="C16" t="s">
        <v>25</v>
      </c>
      <c r="D16">
        <v>2</v>
      </c>
      <c r="E16">
        <v>3</v>
      </c>
      <c r="F16">
        <v>7</v>
      </c>
      <c r="G16">
        <v>5</v>
      </c>
      <c r="H16">
        <v>4</v>
      </c>
      <c r="I16">
        <v>1</v>
      </c>
      <c r="J16">
        <v>6</v>
      </c>
      <c r="K16" t="s">
        <v>25</v>
      </c>
      <c r="L16" t="s">
        <v>26</v>
      </c>
      <c r="M16" t="s">
        <v>27</v>
      </c>
      <c r="N16" t="s">
        <v>28</v>
      </c>
      <c r="O16" t="s">
        <v>29</v>
      </c>
      <c r="P16" t="s">
        <v>30</v>
      </c>
      <c r="Q16" t="s">
        <v>31</v>
      </c>
      <c r="R16" t="s">
        <v>65</v>
      </c>
      <c r="S16" t="s">
        <v>42</v>
      </c>
      <c r="T16" t="s">
        <v>43</v>
      </c>
      <c r="U16" t="s">
        <v>34</v>
      </c>
      <c r="V16" t="s">
        <v>51</v>
      </c>
      <c r="W16" t="s">
        <v>59</v>
      </c>
      <c r="X16" t="s">
        <v>45</v>
      </c>
    </row>
    <row r="17" spans="1:24" x14ac:dyDescent="0.3">
      <c r="A17" t="s">
        <v>46</v>
      </c>
      <c r="B17">
        <v>27</v>
      </c>
      <c r="C17" t="s">
        <v>25</v>
      </c>
      <c r="D17">
        <v>2</v>
      </c>
      <c r="E17">
        <v>3</v>
      </c>
      <c r="F17">
        <v>7</v>
      </c>
      <c r="G17">
        <v>5</v>
      </c>
      <c r="H17">
        <v>4</v>
      </c>
      <c r="I17">
        <v>1</v>
      </c>
      <c r="J17">
        <v>6</v>
      </c>
      <c r="K17" t="s">
        <v>25</v>
      </c>
      <c r="L17" t="s">
        <v>26</v>
      </c>
      <c r="M17" t="s">
        <v>27</v>
      </c>
      <c r="N17" t="s">
        <v>28</v>
      </c>
      <c r="O17" t="s">
        <v>29</v>
      </c>
      <c r="P17" t="s">
        <v>30</v>
      </c>
      <c r="Q17" t="s">
        <v>31</v>
      </c>
      <c r="R17" t="s">
        <v>32</v>
      </c>
      <c r="S17" t="s">
        <v>42</v>
      </c>
      <c r="T17" t="s">
        <v>27</v>
      </c>
      <c r="U17" t="s">
        <v>56</v>
      </c>
      <c r="V17" t="s">
        <v>51</v>
      </c>
      <c r="W17" t="s">
        <v>59</v>
      </c>
      <c r="X17" t="s">
        <v>37</v>
      </c>
    </row>
    <row r="18" spans="1:24" x14ac:dyDescent="0.3">
      <c r="A18" t="s">
        <v>24</v>
      </c>
      <c r="B18">
        <v>28</v>
      </c>
      <c r="C18" t="s">
        <v>25</v>
      </c>
      <c r="D18">
        <v>3</v>
      </c>
      <c r="E18">
        <v>2</v>
      </c>
      <c r="F18">
        <v>7</v>
      </c>
      <c r="G18">
        <v>5</v>
      </c>
      <c r="H18">
        <v>4</v>
      </c>
      <c r="I18">
        <v>1</v>
      </c>
      <c r="J18">
        <v>6</v>
      </c>
      <c r="K18" t="s">
        <v>25</v>
      </c>
      <c r="L18" t="s">
        <v>60</v>
      </c>
      <c r="M18" t="s">
        <v>63</v>
      </c>
      <c r="N18" t="s">
        <v>28</v>
      </c>
      <c r="O18" t="s">
        <v>29</v>
      </c>
      <c r="P18" t="s">
        <v>30</v>
      </c>
      <c r="Q18" t="s">
        <v>31</v>
      </c>
      <c r="R18" t="s">
        <v>65</v>
      </c>
      <c r="S18" t="s">
        <v>42</v>
      </c>
      <c r="T18" t="s">
        <v>27</v>
      </c>
      <c r="U18" t="s">
        <v>56</v>
      </c>
      <c r="V18" t="s">
        <v>51</v>
      </c>
      <c r="W18" t="s">
        <v>59</v>
      </c>
      <c r="X18" t="s">
        <v>52</v>
      </c>
    </row>
    <row r="19" spans="1:24" x14ac:dyDescent="0.3">
      <c r="A19" t="s">
        <v>46</v>
      </c>
      <c r="B19">
        <v>27</v>
      </c>
      <c r="C19" t="s">
        <v>25</v>
      </c>
      <c r="D19">
        <v>3</v>
      </c>
      <c r="E19">
        <v>2</v>
      </c>
      <c r="F19">
        <v>7</v>
      </c>
      <c r="G19">
        <v>4</v>
      </c>
      <c r="H19">
        <v>5</v>
      </c>
      <c r="I19">
        <v>1</v>
      </c>
      <c r="J19">
        <v>6</v>
      </c>
      <c r="K19" t="s">
        <v>25</v>
      </c>
      <c r="L19" t="s">
        <v>26</v>
      </c>
      <c r="M19" t="s">
        <v>27</v>
      </c>
      <c r="N19" t="s">
        <v>28</v>
      </c>
      <c r="O19" t="s">
        <v>29</v>
      </c>
      <c r="P19" t="s">
        <v>30</v>
      </c>
      <c r="Q19" t="s">
        <v>31</v>
      </c>
      <c r="R19" t="s">
        <v>32</v>
      </c>
      <c r="S19" t="s">
        <v>33</v>
      </c>
      <c r="T19" t="s">
        <v>27</v>
      </c>
      <c r="U19" t="s">
        <v>34</v>
      </c>
      <c r="V19" t="s">
        <v>51</v>
      </c>
      <c r="W19" t="s">
        <v>59</v>
      </c>
      <c r="X19" t="s">
        <v>45</v>
      </c>
    </row>
    <row r="20" spans="1:24" x14ac:dyDescent="0.3">
      <c r="A20" t="s">
        <v>46</v>
      </c>
      <c r="B20">
        <v>29</v>
      </c>
      <c r="C20" t="s">
        <v>25</v>
      </c>
      <c r="D20">
        <v>3</v>
      </c>
      <c r="E20">
        <v>2</v>
      </c>
      <c r="F20">
        <v>7</v>
      </c>
      <c r="G20">
        <v>4</v>
      </c>
      <c r="H20">
        <v>5</v>
      </c>
      <c r="I20">
        <v>1</v>
      </c>
      <c r="J20">
        <v>6</v>
      </c>
      <c r="K20" t="s">
        <v>25</v>
      </c>
      <c r="L20" t="s">
        <v>60</v>
      </c>
      <c r="M20" t="s">
        <v>27</v>
      </c>
      <c r="N20" t="s">
        <v>28</v>
      </c>
      <c r="O20" t="s">
        <v>29</v>
      </c>
      <c r="P20" t="s">
        <v>30</v>
      </c>
      <c r="Q20" t="s">
        <v>31</v>
      </c>
      <c r="R20" t="s">
        <v>32</v>
      </c>
      <c r="S20" t="s">
        <v>33</v>
      </c>
      <c r="T20" t="s">
        <v>27</v>
      </c>
      <c r="U20" t="s">
        <v>34</v>
      </c>
      <c r="V20" t="s">
        <v>51</v>
      </c>
      <c r="W20" t="s">
        <v>59</v>
      </c>
      <c r="X20" t="s">
        <v>37</v>
      </c>
    </row>
    <row r="21" spans="1:24" x14ac:dyDescent="0.3">
      <c r="A21" t="s">
        <v>46</v>
      </c>
      <c r="B21">
        <v>26</v>
      </c>
      <c r="C21" t="s">
        <v>25</v>
      </c>
      <c r="D21">
        <v>3</v>
      </c>
      <c r="E21">
        <v>4</v>
      </c>
      <c r="F21">
        <v>6</v>
      </c>
      <c r="G21">
        <v>5</v>
      </c>
      <c r="H21">
        <v>1</v>
      </c>
      <c r="I21">
        <v>2</v>
      </c>
      <c r="J21">
        <v>7</v>
      </c>
      <c r="K21" t="s">
        <v>25</v>
      </c>
      <c r="L21" t="s">
        <v>60</v>
      </c>
      <c r="M21" t="s">
        <v>27</v>
      </c>
      <c r="N21" t="s">
        <v>28</v>
      </c>
      <c r="O21" t="s">
        <v>47</v>
      </c>
      <c r="P21" t="s">
        <v>30</v>
      </c>
      <c r="Q21" t="s">
        <v>31</v>
      </c>
      <c r="R21" t="s">
        <v>65</v>
      </c>
      <c r="S21" t="s">
        <v>42</v>
      </c>
      <c r="T21" t="s">
        <v>27</v>
      </c>
      <c r="U21" t="s">
        <v>56</v>
      </c>
      <c r="V21" t="s">
        <v>51</v>
      </c>
      <c r="W21" t="s">
        <v>59</v>
      </c>
      <c r="X21" t="s">
        <v>37</v>
      </c>
    </row>
    <row r="22" spans="1:24" x14ac:dyDescent="0.3">
      <c r="A22" t="s">
        <v>46</v>
      </c>
      <c r="B22">
        <v>29</v>
      </c>
      <c r="C22" t="s">
        <v>25</v>
      </c>
      <c r="D22">
        <v>2</v>
      </c>
      <c r="E22">
        <v>4</v>
      </c>
      <c r="F22">
        <v>7</v>
      </c>
      <c r="G22">
        <v>5</v>
      </c>
      <c r="H22">
        <v>3</v>
      </c>
      <c r="I22">
        <v>1</v>
      </c>
      <c r="J22">
        <v>6</v>
      </c>
      <c r="K22" t="s">
        <v>25</v>
      </c>
      <c r="L22" t="s">
        <v>26</v>
      </c>
      <c r="M22" t="s">
        <v>63</v>
      </c>
      <c r="N22" t="s">
        <v>28</v>
      </c>
      <c r="O22" t="s">
        <v>47</v>
      </c>
      <c r="P22" t="s">
        <v>41</v>
      </c>
      <c r="Q22" t="s">
        <v>31</v>
      </c>
      <c r="R22" t="s">
        <v>32</v>
      </c>
      <c r="S22" t="s">
        <v>33</v>
      </c>
      <c r="T22" t="s">
        <v>27</v>
      </c>
      <c r="U22" t="s">
        <v>34</v>
      </c>
      <c r="V22" t="s">
        <v>51</v>
      </c>
      <c r="W22" t="s">
        <v>36</v>
      </c>
      <c r="X22" t="s">
        <v>45</v>
      </c>
    </row>
    <row r="23" spans="1:24" x14ac:dyDescent="0.3">
      <c r="A23" t="s">
        <v>24</v>
      </c>
      <c r="B23">
        <v>24</v>
      </c>
      <c r="C23" t="s">
        <v>25</v>
      </c>
      <c r="D23">
        <v>2</v>
      </c>
      <c r="E23">
        <v>4</v>
      </c>
      <c r="F23">
        <v>5</v>
      </c>
      <c r="G23">
        <v>6</v>
      </c>
      <c r="H23">
        <v>3</v>
      </c>
      <c r="I23">
        <v>1</v>
      </c>
      <c r="J23">
        <v>7</v>
      </c>
      <c r="K23" t="s">
        <v>25</v>
      </c>
      <c r="L23" t="s">
        <v>60</v>
      </c>
      <c r="M23" t="s">
        <v>27</v>
      </c>
      <c r="N23" t="s">
        <v>28</v>
      </c>
      <c r="O23" t="s">
        <v>47</v>
      </c>
      <c r="P23" t="s">
        <v>30</v>
      </c>
      <c r="Q23" t="s">
        <v>31</v>
      </c>
      <c r="R23" t="s">
        <v>49</v>
      </c>
      <c r="S23" t="s">
        <v>42</v>
      </c>
      <c r="T23" t="s">
        <v>27</v>
      </c>
      <c r="U23" t="s">
        <v>34</v>
      </c>
      <c r="V23" t="s">
        <v>51</v>
      </c>
      <c r="W23" t="s">
        <v>59</v>
      </c>
      <c r="X23" t="s">
        <v>37</v>
      </c>
    </row>
    <row r="24" spans="1:24" x14ac:dyDescent="0.3">
      <c r="A24" t="s">
        <v>46</v>
      </c>
      <c r="B24">
        <v>27</v>
      </c>
      <c r="C24" t="s">
        <v>25</v>
      </c>
      <c r="D24">
        <v>3</v>
      </c>
      <c r="E24">
        <v>4</v>
      </c>
      <c r="F24">
        <v>6</v>
      </c>
      <c r="G24">
        <v>5</v>
      </c>
      <c r="H24">
        <v>2</v>
      </c>
      <c r="I24">
        <v>1</v>
      </c>
      <c r="J24">
        <v>7</v>
      </c>
      <c r="K24" t="s">
        <v>25</v>
      </c>
      <c r="L24" t="s">
        <v>26</v>
      </c>
      <c r="M24" t="s">
        <v>27</v>
      </c>
      <c r="N24" t="s">
        <v>28</v>
      </c>
      <c r="O24" t="s">
        <v>47</v>
      </c>
      <c r="P24" t="s">
        <v>30</v>
      </c>
      <c r="Q24" t="s">
        <v>31</v>
      </c>
      <c r="R24" t="s">
        <v>32</v>
      </c>
      <c r="S24" t="s">
        <v>33</v>
      </c>
      <c r="T24" t="s">
        <v>27</v>
      </c>
      <c r="U24" t="s">
        <v>34</v>
      </c>
      <c r="V24" t="s">
        <v>51</v>
      </c>
      <c r="W24" t="s">
        <v>59</v>
      </c>
      <c r="X24" t="s">
        <v>45</v>
      </c>
    </row>
    <row r="25" spans="1:24" x14ac:dyDescent="0.3">
      <c r="A25" t="s">
        <v>46</v>
      </c>
      <c r="B25">
        <v>25</v>
      </c>
      <c r="C25" t="s">
        <v>25</v>
      </c>
      <c r="D25">
        <v>2</v>
      </c>
      <c r="E25">
        <v>4</v>
      </c>
      <c r="F25">
        <v>6</v>
      </c>
      <c r="G25">
        <v>5</v>
      </c>
      <c r="H25">
        <v>3</v>
      </c>
      <c r="I25">
        <v>1</v>
      </c>
      <c r="J25">
        <v>7</v>
      </c>
      <c r="K25" t="s">
        <v>25</v>
      </c>
      <c r="L25" t="s">
        <v>60</v>
      </c>
      <c r="M25" t="s">
        <v>63</v>
      </c>
      <c r="N25" t="s">
        <v>64</v>
      </c>
      <c r="O25" t="s">
        <v>47</v>
      </c>
      <c r="P25" t="s">
        <v>41</v>
      </c>
      <c r="Q25" t="s">
        <v>31</v>
      </c>
      <c r="R25" t="s">
        <v>67</v>
      </c>
      <c r="S25" t="s">
        <v>42</v>
      </c>
      <c r="T25" t="s">
        <v>62</v>
      </c>
      <c r="U25" t="s">
        <v>34</v>
      </c>
      <c r="V25" t="s">
        <v>51</v>
      </c>
      <c r="W25" t="s">
        <v>59</v>
      </c>
      <c r="X25" t="s">
        <v>45</v>
      </c>
    </row>
    <row r="26" spans="1:24" x14ac:dyDescent="0.3">
      <c r="A26" t="s">
        <v>24</v>
      </c>
      <c r="B26">
        <v>26</v>
      </c>
      <c r="C26" t="s">
        <v>25</v>
      </c>
      <c r="D26">
        <v>2</v>
      </c>
      <c r="E26">
        <v>3</v>
      </c>
      <c r="F26">
        <v>7</v>
      </c>
      <c r="G26">
        <v>5</v>
      </c>
      <c r="H26">
        <v>4</v>
      </c>
      <c r="I26">
        <v>1</v>
      </c>
      <c r="J26">
        <v>6</v>
      </c>
      <c r="K26" t="s">
        <v>25</v>
      </c>
      <c r="L26" t="s">
        <v>26</v>
      </c>
      <c r="M26" t="s">
        <v>27</v>
      </c>
      <c r="N26" t="s">
        <v>28</v>
      </c>
      <c r="O26" t="s">
        <v>47</v>
      </c>
      <c r="P26" t="s">
        <v>30</v>
      </c>
      <c r="Q26" t="s">
        <v>61</v>
      </c>
      <c r="R26" t="s">
        <v>67</v>
      </c>
      <c r="S26" t="s">
        <v>33</v>
      </c>
      <c r="T26" t="s">
        <v>27</v>
      </c>
      <c r="U26" t="s">
        <v>34</v>
      </c>
      <c r="V26" t="s">
        <v>51</v>
      </c>
      <c r="W26" t="s">
        <v>59</v>
      </c>
      <c r="X26" t="s">
        <v>37</v>
      </c>
    </row>
    <row r="27" spans="1:24" x14ac:dyDescent="0.3">
      <c r="A27" t="s">
        <v>24</v>
      </c>
      <c r="B27">
        <v>32</v>
      </c>
      <c r="C27" t="s">
        <v>25</v>
      </c>
      <c r="D27">
        <v>3</v>
      </c>
      <c r="E27">
        <v>4</v>
      </c>
      <c r="F27">
        <v>7</v>
      </c>
      <c r="G27">
        <v>5</v>
      </c>
      <c r="H27">
        <v>1</v>
      </c>
      <c r="I27">
        <v>2</v>
      </c>
      <c r="J27">
        <v>6</v>
      </c>
      <c r="K27" t="s">
        <v>25</v>
      </c>
      <c r="L27" t="s">
        <v>60</v>
      </c>
      <c r="M27" t="s">
        <v>63</v>
      </c>
      <c r="N27" t="s">
        <v>28</v>
      </c>
      <c r="O27" t="s">
        <v>47</v>
      </c>
      <c r="P27" t="s">
        <v>30</v>
      </c>
      <c r="Q27" t="s">
        <v>31</v>
      </c>
      <c r="R27" t="s">
        <v>32</v>
      </c>
      <c r="S27" t="s">
        <v>33</v>
      </c>
      <c r="T27" t="s">
        <v>27</v>
      </c>
      <c r="U27" t="s">
        <v>34</v>
      </c>
      <c r="V27" t="s">
        <v>51</v>
      </c>
      <c r="W27" t="s">
        <v>36</v>
      </c>
      <c r="X27" t="s">
        <v>45</v>
      </c>
    </row>
    <row r="28" spans="1:24" x14ac:dyDescent="0.3">
      <c r="A28" t="s">
        <v>46</v>
      </c>
      <c r="B28">
        <v>26</v>
      </c>
      <c r="C28" t="s">
        <v>25</v>
      </c>
      <c r="D28">
        <v>3</v>
      </c>
      <c r="E28">
        <v>4</v>
      </c>
      <c r="F28">
        <v>6</v>
      </c>
      <c r="G28">
        <v>5</v>
      </c>
      <c r="H28">
        <v>1</v>
      </c>
      <c r="I28">
        <v>2</v>
      </c>
      <c r="J28">
        <v>7</v>
      </c>
      <c r="K28" t="s">
        <v>25</v>
      </c>
      <c r="L28" t="s">
        <v>26</v>
      </c>
      <c r="M28" t="s">
        <v>27</v>
      </c>
      <c r="N28" t="s">
        <v>28</v>
      </c>
      <c r="O28" t="s">
        <v>47</v>
      </c>
      <c r="P28" t="s">
        <v>30</v>
      </c>
      <c r="Q28" t="s">
        <v>31</v>
      </c>
      <c r="R28" t="s">
        <v>32</v>
      </c>
      <c r="S28" t="s">
        <v>33</v>
      </c>
      <c r="T28" t="s">
        <v>43</v>
      </c>
      <c r="U28" t="s">
        <v>56</v>
      </c>
      <c r="V28" t="s">
        <v>51</v>
      </c>
      <c r="W28" t="s">
        <v>36</v>
      </c>
      <c r="X28" t="s">
        <v>45</v>
      </c>
    </row>
    <row r="29" spans="1:24" x14ac:dyDescent="0.3">
      <c r="A29" t="s">
        <v>46</v>
      </c>
      <c r="B29">
        <v>31</v>
      </c>
      <c r="C29" t="s">
        <v>25</v>
      </c>
      <c r="D29">
        <v>2</v>
      </c>
      <c r="E29">
        <v>3</v>
      </c>
      <c r="F29">
        <v>7</v>
      </c>
      <c r="G29">
        <v>6</v>
      </c>
      <c r="H29">
        <v>4</v>
      </c>
      <c r="I29">
        <v>1</v>
      </c>
      <c r="J29">
        <v>5</v>
      </c>
      <c r="K29" t="s">
        <v>25</v>
      </c>
      <c r="L29" t="s">
        <v>60</v>
      </c>
      <c r="M29" t="s">
        <v>63</v>
      </c>
      <c r="N29" t="s">
        <v>64</v>
      </c>
      <c r="O29" t="s">
        <v>29</v>
      </c>
      <c r="P29" t="s">
        <v>30</v>
      </c>
      <c r="Q29" t="s">
        <v>31</v>
      </c>
      <c r="R29" t="s">
        <v>65</v>
      </c>
      <c r="S29" t="s">
        <v>42</v>
      </c>
      <c r="T29" t="s">
        <v>27</v>
      </c>
      <c r="U29" t="s">
        <v>56</v>
      </c>
      <c r="V29" t="s">
        <v>35</v>
      </c>
      <c r="W29" t="s">
        <v>36</v>
      </c>
      <c r="X29" t="s">
        <v>52</v>
      </c>
    </row>
    <row r="30" spans="1:24" x14ac:dyDescent="0.3">
      <c r="A30" t="s">
        <v>46</v>
      </c>
      <c r="B30">
        <v>29</v>
      </c>
      <c r="C30" t="s">
        <v>25</v>
      </c>
      <c r="D30">
        <v>2</v>
      </c>
      <c r="E30">
        <v>3</v>
      </c>
      <c r="F30">
        <v>6</v>
      </c>
      <c r="G30">
        <v>5</v>
      </c>
      <c r="H30">
        <v>1</v>
      </c>
      <c r="I30">
        <v>4</v>
      </c>
      <c r="J30">
        <v>7</v>
      </c>
      <c r="K30" t="s">
        <v>25</v>
      </c>
      <c r="L30" t="s">
        <v>26</v>
      </c>
      <c r="M30" t="s">
        <v>27</v>
      </c>
      <c r="N30" t="s">
        <v>28</v>
      </c>
      <c r="O30" t="s">
        <v>29</v>
      </c>
      <c r="P30" t="s">
        <v>30</v>
      </c>
      <c r="Q30" t="s">
        <v>31</v>
      </c>
      <c r="R30" t="s">
        <v>49</v>
      </c>
      <c r="S30" t="s">
        <v>33</v>
      </c>
      <c r="T30" t="s">
        <v>27</v>
      </c>
      <c r="U30" t="s">
        <v>34</v>
      </c>
      <c r="V30" t="s">
        <v>51</v>
      </c>
      <c r="W30" t="s">
        <v>59</v>
      </c>
      <c r="X30" t="s">
        <v>52</v>
      </c>
    </row>
    <row r="31" spans="1:24" x14ac:dyDescent="0.3">
      <c r="A31" t="s">
        <v>24</v>
      </c>
      <c r="B31">
        <v>34</v>
      </c>
      <c r="C31" t="s">
        <v>25</v>
      </c>
      <c r="D31">
        <v>5</v>
      </c>
      <c r="E31">
        <v>4</v>
      </c>
      <c r="F31">
        <v>3</v>
      </c>
      <c r="G31">
        <v>2</v>
      </c>
      <c r="H31">
        <v>7</v>
      </c>
      <c r="I31">
        <v>1</v>
      </c>
      <c r="J31">
        <v>6</v>
      </c>
      <c r="K31" t="s">
        <v>25</v>
      </c>
      <c r="L31" t="s">
        <v>26</v>
      </c>
      <c r="M31" t="s">
        <v>53</v>
      </c>
      <c r="N31" t="s">
        <v>26</v>
      </c>
      <c r="O31" t="s">
        <v>47</v>
      </c>
      <c r="P31" t="s">
        <v>30</v>
      </c>
      <c r="Q31" t="s">
        <v>55</v>
      </c>
      <c r="R31" t="s">
        <v>32</v>
      </c>
      <c r="S31" t="s">
        <v>33</v>
      </c>
      <c r="T31" t="s">
        <v>27</v>
      </c>
      <c r="U31" t="s">
        <v>50</v>
      </c>
      <c r="V31" t="s">
        <v>35</v>
      </c>
      <c r="W31" t="s">
        <v>36</v>
      </c>
      <c r="X31" t="s">
        <v>37</v>
      </c>
    </row>
    <row r="32" spans="1:24" x14ac:dyDescent="0.3">
      <c r="A32" t="s">
        <v>46</v>
      </c>
      <c r="B32">
        <v>27</v>
      </c>
      <c r="C32" t="s">
        <v>25</v>
      </c>
      <c r="D32">
        <v>4</v>
      </c>
      <c r="E32">
        <v>5</v>
      </c>
      <c r="F32">
        <v>1</v>
      </c>
      <c r="G32">
        <v>2</v>
      </c>
      <c r="H32">
        <v>7</v>
      </c>
      <c r="I32">
        <v>3</v>
      </c>
      <c r="J32">
        <v>6</v>
      </c>
      <c r="K32" t="s">
        <v>38</v>
      </c>
      <c r="L32" t="s">
        <v>26</v>
      </c>
      <c r="M32" t="s">
        <v>63</v>
      </c>
      <c r="N32" t="s">
        <v>28</v>
      </c>
      <c r="O32" t="s">
        <v>29</v>
      </c>
      <c r="P32" t="s">
        <v>30</v>
      </c>
      <c r="Q32" t="s">
        <v>55</v>
      </c>
      <c r="R32" t="s">
        <v>32</v>
      </c>
      <c r="S32" t="s">
        <v>66</v>
      </c>
      <c r="T32" t="s">
        <v>27</v>
      </c>
      <c r="U32" t="s">
        <v>50</v>
      </c>
      <c r="V32" t="s">
        <v>35</v>
      </c>
      <c r="W32" t="s">
        <v>36</v>
      </c>
      <c r="X32" t="s">
        <v>52</v>
      </c>
    </row>
    <row r="33" spans="1:24" x14ac:dyDescent="0.3">
      <c r="A33" t="s">
        <v>24</v>
      </c>
      <c r="B33">
        <v>31</v>
      </c>
      <c r="C33" t="s">
        <v>25</v>
      </c>
      <c r="D33">
        <v>2</v>
      </c>
      <c r="E33">
        <v>4</v>
      </c>
      <c r="F33">
        <v>7</v>
      </c>
      <c r="G33">
        <v>6</v>
      </c>
      <c r="H33">
        <v>3</v>
      </c>
      <c r="I33">
        <v>1</v>
      </c>
      <c r="J33">
        <v>5</v>
      </c>
      <c r="K33" t="s">
        <v>25</v>
      </c>
      <c r="L33" t="s">
        <v>26</v>
      </c>
      <c r="M33" t="s">
        <v>27</v>
      </c>
      <c r="N33" t="s">
        <v>28</v>
      </c>
      <c r="O33" t="s">
        <v>47</v>
      </c>
      <c r="P33" t="s">
        <v>30</v>
      </c>
      <c r="Q33" t="s">
        <v>31</v>
      </c>
      <c r="R33" t="s">
        <v>65</v>
      </c>
      <c r="S33" t="s">
        <v>33</v>
      </c>
      <c r="T33" t="s">
        <v>27</v>
      </c>
      <c r="U33" t="s">
        <v>34</v>
      </c>
      <c r="V33" t="s">
        <v>51</v>
      </c>
      <c r="W33" t="s">
        <v>36</v>
      </c>
      <c r="X33" t="s">
        <v>45</v>
      </c>
    </row>
    <row r="34" spans="1:24" x14ac:dyDescent="0.3">
      <c r="A34" t="s">
        <v>46</v>
      </c>
      <c r="B34">
        <v>27</v>
      </c>
      <c r="C34" t="s">
        <v>25</v>
      </c>
      <c r="D34">
        <v>2</v>
      </c>
      <c r="E34">
        <v>4</v>
      </c>
      <c r="F34">
        <v>7</v>
      </c>
      <c r="G34">
        <v>5</v>
      </c>
      <c r="H34">
        <v>1</v>
      </c>
      <c r="I34">
        <v>3</v>
      </c>
      <c r="J34">
        <v>6</v>
      </c>
      <c r="K34" t="s">
        <v>25</v>
      </c>
      <c r="L34" t="s">
        <v>26</v>
      </c>
      <c r="M34" t="s">
        <v>27</v>
      </c>
      <c r="N34" t="s">
        <v>28</v>
      </c>
      <c r="O34" t="s">
        <v>47</v>
      </c>
      <c r="P34" t="s">
        <v>30</v>
      </c>
      <c r="Q34" t="s">
        <v>61</v>
      </c>
      <c r="R34" t="s">
        <v>49</v>
      </c>
      <c r="S34" t="s">
        <v>42</v>
      </c>
      <c r="T34" t="s">
        <v>27</v>
      </c>
      <c r="U34" t="s">
        <v>56</v>
      </c>
      <c r="V34" t="s">
        <v>51</v>
      </c>
      <c r="W34" t="s">
        <v>36</v>
      </c>
      <c r="X34" t="s">
        <v>37</v>
      </c>
    </row>
    <row r="35" spans="1:24" x14ac:dyDescent="0.3">
      <c r="A35" t="s">
        <v>46</v>
      </c>
      <c r="B35">
        <v>26</v>
      </c>
      <c r="C35" t="s">
        <v>25</v>
      </c>
      <c r="D35">
        <v>2</v>
      </c>
      <c r="E35">
        <v>3</v>
      </c>
      <c r="F35">
        <v>6</v>
      </c>
      <c r="G35">
        <v>4</v>
      </c>
      <c r="H35">
        <v>1</v>
      </c>
      <c r="I35">
        <v>5</v>
      </c>
      <c r="J35">
        <v>7</v>
      </c>
      <c r="K35" t="s">
        <v>25</v>
      </c>
      <c r="L35" t="s">
        <v>26</v>
      </c>
      <c r="M35" t="s">
        <v>27</v>
      </c>
      <c r="N35" t="s">
        <v>26</v>
      </c>
      <c r="O35" t="s">
        <v>29</v>
      </c>
      <c r="P35" t="s">
        <v>30</v>
      </c>
      <c r="Q35" t="s">
        <v>31</v>
      </c>
      <c r="R35" t="s">
        <v>65</v>
      </c>
      <c r="S35" t="s">
        <v>66</v>
      </c>
      <c r="T35" t="s">
        <v>43</v>
      </c>
      <c r="U35" t="s">
        <v>34</v>
      </c>
      <c r="V35" t="s">
        <v>35</v>
      </c>
      <c r="W35" t="s">
        <v>59</v>
      </c>
      <c r="X35" t="s">
        <v>37</v>
      </c>
    </row>
    <row r="36" spans="1:24" x14ac:dyDescent="0.3">
      <c r="A36" t="s">
        <v>46</v>
      </c>
      <c r="B36">
        <v>27</v>
      </c>
      <c r="C36" t="s">
        <v>25</v>
      </c>
      <c r="D36">
        <v>2</v>
      </c>
      <c r="E36">
        <v>3</v>
      </c>
      <c r="F36">
        <v>6</v>
      </c>
      <c r="G36">
        <v>5</v>
      </c>
      <c r="H36">
        <v>4</v>
      </c>
      <c r="I36">
        <v>1</v>
      </c>
      <c r="J36">
        <v>7</v>
      </c>
      <c r="K36" t="s">
        <v>25</v>
      </c>
      <c r="L36" t="s">
        <v>26</v>
      </c>
      <c r="M36" t="s">
        <v>27</v>
      </c>
      <c r="N36" t="s">
        <v>28</v>
      </c>
      <c r="O36" t="s">
        <v>29</v>
      </c>
      <c r="P36" t="s">
        <v>41</v>
      </c>
      <c r="Q36" t="s">
        <v>31</v>
      </c>
      <c r="R36" t="s">
        <v>32</v>
      </c>
      <c r="S36" t="s">
        <v>42</v>
      </c>
      <c r="T36" t="s">
        <v>27</v>
      </c>
      <c r="U36" t="s">
        <v>34</v>
      </c>
      <c r="V36" t="s">
        <v>35</v>
      </c>
      <c r="W36" t="s">
        <v>36</v>
      </c>
      <c r="X36" t="s">
        <v>45</v>
      </c>
    </row>
    <row r="37" spans="1:24" x14ac:dyDescent="0.3">
      <c r="A37" t="s">
        <v>46</v>
      </c>
      <c r="B37">
        <v>30</v>
      </c>
      <c r="C37" t="s">
        <v>25</v>
      </c>
      <c r="D37">
        <v>1</v>
      </c>
      <c r="E37">
        <v>4</v>
      </c>
      <c r="F37">
        <v>6</v>
      </c>
      <c r="G37">
        <v>5</v>
      </c>
      <c r="H37">
        <v>3</v>
      </c>
      <c r="I37">
        <v>2</v>
      </c>
      <c r="J37">
        <v>7</v>
      </c>
      <c r="K37" t="s">
        <v>25</v>
      </c>
      <c r="L37" t="s">
        <v>60</v>
      </c>
      <c r="M37" t="s">
        <v>63</v>
      </c>
      <c r="N37" t="s">
        <v>28</v>
      </c>
      <c r="O37" t="s">
        <v>47</v>
      </c>
      <c r="P37" t="s">
        <v>30</v>
      </c>
      <c r="Q37" t="s">
        <v>31</v>
      </c>
      <c r="R37" t="s">
        <v>65</v>
      </c>
      <c r="S37" t="s">
        <v>42</v>
      </c>
      <c r="T37" t="s">
        <v>27</v>
      </c>
      <c r="U37" t="s">
        <v>34</v>
      </c>
      <c r="V37" t="s">
        <v>51</v>
      </c>
      <c r="W37" t="s">
        <v>36</v>
      </c>
      <c r="X37" t="s">
        <v>45</v>
      </c>
    </row>
    <row r="38" spans="1:24" x14ac:dyDescent="0.3">
      <c r="A38" t="s">
        <v>46</v>
      </c>
      <c r="B38">
        <v>30</v>
      </c>
      <c r="C38" t="s">
        <v>25</v>
      </c>
      <c r="D38">
        <v>2</v>
      </c>
      <c r="E38">
        <v>4</v>
      </c>
      <c r="F38">
        <v>7</v>
      </c>
      <c r="G38">
        <v>5</v>
      </c>
      <c r="H38">
        <v>1</v>
      </c>
      <c r="I38">
        <v>3</v>
      </c>
      <c r="J38">
        <v>6</v>
      </c>
      <c r="K38" t="s">
        <v>25</v>
      </c>
      <c r="L38" t="s">
        <v>26</v>
      </c>
      <c r="M38" t="s">
        <v>27</v>
      </c>
      <c r="N38" t="s">
        <v>28</v>
      </c>
      <c r="O38" t="s">
        <v>29</v>
      </c>
      <c r="P38" t="s">
        <v>30</v>
      </c>
      <c r="Q38" t="s">
        <v>31</v>
      </c>
      <c r="R38" t="s">
        <v>49</v>
      </c>
      <c r="S38" t="s">
        <v>33</v>
      </c>
      <c r="T38" t="s">
        <v>27</v>
      </c>
      <c r="U38" t="s">
        <v>34</v>
      </c>
      <c r="V38" t="s">
        <v>51</v>
      </c>
      <c r="W38" t="s">
        <v>59</v>
      </c>
      <c r="X38" t="s">
        <v>37</v>
      </c>
    </row>
    <row r="39" spans="1:24" x14ac:dyDescent="0.3">
      <c r="A39" t="s">
        <v>46</v>
      </c>
      <c r="B39">
        <v>25</v>
      </c>
      <c r="C39" t="s">
        <v>25</v>
      </c>
      <c r="D39">
        <v>5</v>
      </c>
      <c r="E39">
        <v>4</v>
      </c>
      <c r="F39">
        <v>7</v>
      </c>
      <c r="G39">
        <v>6</v>
      </c>
      <c r="H39">
        <v>1</v>
      </c>
      <c r="I39">
        <v>2</v>
      </c>
      <c r="J39">
        <v>3</v>
      </c>
      <c r="K39" t="s">
        <v>25</v>
      </c>
      <c r="L39" t="s">
        <v>60</v>
      </c>
      <c r="M39" t="s">
        <v>63</v>
      </c>
      <c r="N39" t="s">
        <v>64</v>
      </c>
      <c r="O39" t="s">
        <v>47</v>
      </c>
      <c r="P39" t="s">
        <v>30</v>
      </c>
      <c r="Q39" t="s">
        <v>61</v>
      </c>
      <c r="R39" t="s">
        <v>67</v>
      </c>
      <c r="S39" t="s">
        <v>42</v>
      </c>
      <c r="T39" t="s">
        <v>27</v>
      </c>
      <c r="U39" t="s">
        <v>34</v>
      </c>
      <c r="V39" t="s">
        <v>35</v>
      </c>
      <c r="W39" t="s">
        <v>36</v>
      </c>
      <c r="X39" t="s">
        <v>45</v>
      </c>
    </row>
    <row r="40" spans="1:24" x14ac:dyDescent="0.3">
      <c r="A40" t="s">
        <v>46</v>
      </c>
      <c r="B40">
        <v>31</v>
      </c>
      <c r="C40" t="s">
        <v>25</v>
      </c>
      <c r="D40">
        <v>2</v>
      </c>
      <c r="E40">
        <v>4</v>
      </c>
      <c r="F40">
        <v>7</v>
      </c>
      <c r="G40">
        <v>5</v>
      </c>
      <c r="H40">
        <v>3</v>
      </c>
      <c r="I40">
        <v>1</v>
      </c>
      <c r="J40">
        <v>6</v>
      </c>
      <c r="K40" t="s">
        <v>25</v>
      </c>
      <c r="L40" t="s">
        <v>60</v>
      </c>
      <c r="M40" t="s">
        <v>63</v>
      </c>
      <c r="N40" t="s">
        <v>28</v>
      </c>
      <c r="O40" t="s">
        <v>29</v>
      </c>
      <c r="P40" t="s">
        <v>41</v>
      </c>
      <c r="Q40" t="s">
        <v>31</v>
      </c>
      <c r="R40" t="s">
        <v>49</v>
      </c>
      <c r="S40" t="s">
        <v>42</v>
      </c>
      <c r="T40" t="s">
        <v>43</v>
      </c>
      <c r="U40" t="s">
        <v>56</v>
      </c>
      <c r="V40" t="s">
        <v>51</v>
      </c>
      <c r="W40" t="s">
        <v>36</v>
      </c>
      <c r="X40" t="s">
        <v>37</v>
      </c>
    </row>
    <row r="41" spans="1:24" x14ac:dyDescent="0.3">
      <c r="A41" t="s">
        <v>46</v>
      </c>
      <c r="B41">
        <v>29</v>
      </c>
      <c r="C41" t="s">
        <v>25</v>
      </c>
      <c r="D41">
        <v>4</v>
      </c>
      <c r="E41">
        <v>3</v>
      </c>
      <c r="F41">
        <v>5</v>
      </c>
      <c r="G41">
        <v>7</v>
      </c>
      <c r="H41">
        <v>2</v>
      </c>
      <c r="I41">
        <v>1</v>
      </c>
      <c r="J41">
        <v>6</v>
      </c>
      <c r="K41" t="s">
        <v>25</v>
      </c>
      <c r="L41" t="s">
        <v>26</v>
      </c>
      <c r="M41" t="s">
        <v>27</v>
      </c>
      <c r="N41" t="s">
        <v>28</v>
      </c>
      <c r="O41" t="s">
        <v>47</v>
      </c>
      <c r="P41" t="s">
        <v>30</v>
      </c>
      <c r="Q41" t="s">
        <v>31</v>
      </c>
      <c r="R41" t="s">
        <v>65</v>
      </c>
      <c r="S41" t="s">
        <v>33</v>
      </c>
      <c r="T41" t="s">
        <v>43</v>
      </c>
      <c r="U41" t="s">
        <v>34</v>
      </c>
      <c r="V41" t="s">
        <v>35</v>
      </c>
      <c r="W41" t="s">
        <v>36</v>
      </c>
      <c r="X41" t="s">
        <v>45</v>
      </c>
    </row>
  </sheetData>
  <pageMargins left="0.7" right="0.7" top="0.75" bottom="0.75" header="0.3" footer="0.3"/>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FAD67-5498-4601-9C20-D1A3A59C2FEC}">
  <dimension ref="A1:AQ42"/>
  <sheetViews>
    <sheetView topLeftCell="AN1" zoomScale="52" zoomScaleNormal="68" workbookViewId="0">
      <selection activeCell="Z2" sqref="Z2:AA2"/>
      <pivotSelection pane="bottomRight" showHeader="1" extendable="1" max="3" activeRow="1" activeCol="25" click="1" r:id="rId2">
        <pivotArea dataOnly="0" axis="axisRow" fieldPosition="0">
          <references count="1">
            <reference field="2" count="1">
              <x v="0"/>
            </reference>
          </references>
        </pivotArea>
      </pivotSelection>
    </sheetView>
  </sheetViews>
  <sheetFormatPr defaultRowHeight="14.4" x14ac:dyDescent="0.3"/>
  <cols>
    <col min="3" max="3" width="20.44140625" bestFit="1" customWidth="1"/>
    <col min="4" max="4" width="14.6640625" bestFit="1" customWidth="1"/>
    <col min="5" max="5" width="15" bestFit="1" customWidth="1"/>
    <col min="6" max="6" width="12.77734375" bestFit="1" customWidth="1"/>
    <col min="7" max="7" width="19.5546875" bestFit="1" customWidth="1"/>
    <col min="8" max="8" width="16" bestFit="1" customWidth="1"/>
    <col min="11" max="11" width="15.33203125" bestFit="1" customWidth="1"/>
    <col min="12" max="12" width="12.6640625" bestFit="1" customWidth="1"/>
    <col min="13" max="13" width="17.44140625" bestFit="1" customWidth="1"/>
    <col min="14" max="14" width="15.21875" bestFit="1" customWidth="1"/>
    <col min="15" max="15" width="15.109375" bestFit="1" customWidth="1"/>
    <col min="16" max="16" width="15.44140625" bestFit="1" customWidth="1"/>
    <col min="18" max="18" width="18.44140625" bestFit="1" customWidth="1"/>
    <col min="19" max="19" width="31.21875" bestFit="1" customWidth="1"/>
    <col min="20" max="20" width="17.44140625" bestFit="1" customWidth="1"/>
    <col min="21" max="21" width="16.88671875" bestFit="1" customWidth="1"/>
    <col min="22" max="22" width="15.109375" bestFit="1" customWidth="1"/>
    <col min="23" max="23" width="16.109375" bestFit="1" customWidth="1"/>
    <col min="24" max="24" width="29.5546875" bestFit="1" customWidth="1"/>
    <col min="26" max="26" width="19.5546875" bestFit="1" customWidth="1"/>
    <col min="27" max="27" width="37.88671875" bestFit="1" customWidth="1"/>
    <col min="36" max="36" width="23.77734375" bestFit="1" customWidth="1"/>
    <col min="37" max="37" width="23" bestFit="1" customWidth="1"/>
    <col min="38" max="39" width="20" bestFit="1" customWidth="1"/>
    <col min="40" max="40" width="30.88671875" bestFit="1" customWidth="1"/>
    <col min="41" max="41" width="31.5546875" bestFit="1" customWidth="1"/>
    <col min="42" max="42" width="31.109375" bestFit="1" customWidth="1"/>
    <col min="43" max="43" width="26.5546875" bestFit="1" customWidth="1"/>
  </cols>
  <sheetData>
    <row r="1" spans="1:4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Z1" s="2" t="s">
        <v>68</v>
      </c>
      <c r="AA1" t="s">
        <v>71</v>
      </c>
      <c r="AJ1" s="2" t="s">
        <v>19</v>
      </c>
      <c r="AK1" s="2" t="s">
        <v>20</v>
      </c>
      <c r="AL1" s="2" t="s">
        <v>21</v>
      </c>
      <c r="AM1" s="2" t="s">
        <v>22</v>
      </c>
      <c r="AN1" t="s">
        <v>72</v>
      </c>
      <c r="AO1" t="s">
        <v>73</v>
      </c>
      <c r="AP1" t="s">
        <v>74</v>
      </c>
      <c r="AQ1" t="s">
        <v>75</v>
      </c>
    </row>
    <row r="2" spans="1:43" x14ac:dyDescent="0.3">
      <c r="A2" t="s">
        <v>24</v>
      </c>
      <c r="B2">
        <v>34</v>
      </c>
      <c r="C2" t="s">
        <v>25</v>
      </c>
      <c r="D2">
        <v>1</v>
      </c>
      <c r="E2">
        <v>2</v>
      </c>
      <c r="F2">
        <v>5</v>
      </c>
      <c r="G2">
        <v>3</v>
      </c>
      <c r="H2">
        <v>7</v>
      </c>
      <c r="I2">
        <v>6</v>
      </c>
      <c r="J2">
        <v>4</v>
      </c>
      <c r="K2" t="s">
        <v>25</v>
      </c>
      <c r="L2" t="s">
        <v>26</v>
      </c>
      <c r="M2" t="s">
        <v>27</v>
      </c>
      <c r="N2" t="s">
        <v>28</v>
      </c>
      <c r="O2" t="s">
        <v>29</v>
      </c>
      <c r="P2" t="s">
        <v>30</v>
      </c>
      <c r="Q2" t="s">
        <v>31</v>
      </c>
      <c r="R2" t="s">
        <v>32</v>
      </c>
      <c r="S2" t="s">
        <v>33</v>
      </c>
      <c r="T2" t="s">
        <v>27</v>
      </c>
      <c r="U2" t="s">
        <v>34</v>
      </c>
      <c r="V2" t="s">
        <v>35</v>
      </c>
      <c r="W2" t="s">
        <v>36</v>
      </c>
      <c r="X2" t="s">
        <v>37</v>
      </c>
      <c r="Z2" s="1" t="s">
        <v>38</v>
      </c>
      <c r="AA2">
        <v>3</v>
      </c>
      <c r="AJ2" t="s">
        <v>27</v>
      </c>
      <c r="AK2" t="s">
        <v>34</v>
      </c>
      <c r="AL2" t="s">
        <v>51</v>
      </c>
      <c r="AM2" t="s">
        <v>36</v>
      </c>
      <c r="AN2">
        <v>4</v>
      </c>
      <c r="AO2">
        <v>4</v>
      </c>
      <c r="AP2">
        <v>4</v>
      </c>
      <c r="AQ2">
        <v>4</v>
      </c>
    </row>
    <row r="3" spans="1:43" x14ac:dyDescent="0.3">
      <c r="A3" t="s">
        <v>24</v>
      </c>
      <c r="B3">
        <v>23</v>
      </c>
      <c r="C3" t="s">
        <v>25</v>
      </c>
      <c r="D3">
        <v>4</v>
      </c>
      <c r="E3">
        <v>3</v>
      </c>
      <c r="F3">
        <v>2</v>
      </c>
      <c r="G3">
        <v>1</v>
      </c>
      <c r="H3">
        <v>5</v>
      </c>
      <c r="I3">
        <v>6</v>
      </c>
      <c r="J3">
        <v>7</v>
      </c>
      <c r="K3" t="s">
        <v>38</v>
      </c>
      <c r="L3" t="s">
        <v>39</v>
      </c>
      <c r="M3" t="s">
        <v>27</v>
      </c>
      <c r="N3" t="s">
        <v>28</v>
      </c>
      <c r="O3" t="s">
        <v>40</v>
      </c>
      <c r="P3" t="s">
        <v>41</v>
      </c>
      <c r="Q3" t="s">
        <v>31</v>
      </c>
      <c r="R3" t="s">
        <v>32</v>
      </c>
      <c r="S3" t="s">
        <v>42</v>
      </c>
      <c r="T3" t="s">
        <v>43</v>
      </c>
      <c r="U3" t="s">
        <v>34</v>
      </c>
      <c r="V3" t="s">
        <v>35</v>
      </c>
      <c r="W3" t="s">
        <v>44</v>
      </c>
      <c r="X3" t="s">
        <v>45</v>
      </c>
      <c r="Z3" s="1" t="s">
        <v>25</v>
      </c>
      <c r="AA3">
        <v>37</v>
      </c>
      <c r="AM3" t="s">
        <v>44</v>
      </c>
      <c r="AN3">
        <v>1</v>
      </c>
      <c r="AO3">
        <v>1</v>
      </c>
      <c r="AP3">
        <v>1</v>
      </c>
      <c r="AQ3">
        <v>1</v>
      </c>
    </row>
    <row r="4" spans="1:43" x14ac:dyDescent="0.3">
      <c r="A4" t="s">
        <v>46</v>
      </c>
      <c r="B4">
        <v>30</v>
      </c>
      <c r="C4" t="s">
        <v>25</v>
      </c>
      <c r="D4">
        <v>3</v>
      </c>
      <c r="E4">
        <v>6</v>
      </c>
      <c r="F4">
        <v>4</v>
      </c>
      <c r="G4">
        <v>2</v>
      </c>
      <c r="H4">
        <v>5</v>
      </c>
      <c r="I4">
        <v>1</v>
      </c>
      <c r="J4">
        <v>7</v>
      </c>
      <c r="K4" t="s">
        <v>25</v>
      </c>
      <c r="L4" t="s">
        <v>26</v>
      </c>
      <c r="M4" t="s">
        <v>27</v>
      </c>
      <c r="N4" t="s">
        <v>28</v>
      </c>
      <c r="O4" t="s">
        <v>47</v>
      </c>
      <c r="P4" t="s">
        <v>48</v>
      </c>
      <c r="Q4" t="s">
        <v>31</v>
      </c>
      <c r="R4" t="s">
        <v>49</v>
      </c>
      <c r="S4" t="s">
        <v>33</v>
      </c>
      <c r="T4" t="s">
        <v>27</v>
      </c>
      <c r="U4" t="s">
        <v>50</v>
      </c>
      <c r="V4" t="s">
        <v>51</v>
      </c>
      <c r="W4" t="s">
        <v>36</v>
      </c>
      <c r="X4" t="s">
        <v>52</v>
      </c>
      <c r="Z4" s="1" t="s">
        <v>70</v>
      </c>
      <c r="AA4">
        <v>40</v>
      </c>
      <c r="AM4" t="s">
        <v>59</v>
      </c>
      <c r="AN4">
        <v>9</v>
      </c>
      <c r="AO4">
        <v>9</v>
      </c>
      <c r="AP4">
        <v>9</v>
      </c>
      <c r="AQ4">
        <v>9</v>
      </c>
    </row>
    <row r="5" spans="1:43" x14ac:dyDescent="0.3">
      <c r="A5" t="s">
        <v>46</v>
      </c>
      <c r="B5">
        <v>22</v>
      </c>
      <c r="C5" t="s">
        <v>25</v>
      </c>
      <c r="D5">
        <v>2</v>
      </c>
      <c r="E5">
        <v>1</v>
      </c>
      <c r="F5">
        <v>3</v>
      </c>
      <c r="G5">
        <v>7</v>
      </c>
      <c r="H5">
        <v>6</v>
      </c>
      <c r="I5">
        <v>4</v>
      </c>
      <c r="J5">
        <v>5</v>
      </c>
      <c r="K5" t="s">
        <v>25</v>
      </c>
      <c r="L5" t="s">
        <v>26</v>
      </c>
      <c r="M5" t="s">
        <v>53</v>
      </c>
      <c r="N5" t="s">
        <v>28</v>
      </c>
      <c r="O5" t="s">
        <v>54</v>
      </c>
      <c r="P5" t="s">
        <v>48</v>
      </c>
      <c r="Q5" t="s">
        <v>55</v>
      </c>
      <c r="R5" t="s">
        <v>49</v>
      </c>
      <c r="S5" t="s">
        <v>33</v>
      </c>
      <c r="T5" t="s">
        <v>43</v>
      </c>
      <c r="U5" t="s">
        <v>56</v>
      </c>
      <c r="V5" t="s">
        <v>57</v>
      </c>
      <c r="W5" t="s">
        <v>44</v>
      </c>
      <c r="X5" t="s">
        <v>58</v>
      </c>
      <c r="AL5" t="s">
        <v>76</v>
      </c>
      <c r="AN5">
        <v>14</v>
      </c>
      <c r="AO5">
        <v>14</v>
      </c>
      <c r="AP5">
        <v>14</v>
      </c>
      <c r="AQ5">
        <v>14</v>
      </c>
    </row>
    <row r="6" spans="1:43" x14ac:dyDescent="0.3">
      <c r="A6" t="s">
        <v>24</v>
      </c>
      <c r="B6">
        <v>24</v>
      </c>
      <c r="C6" t="s">
        <v>38</v>
      </c>
      <c r="D6">
        <v>2</v>
      </c>
      <c r="E6">
        <v>1</v>
      </c>
      <c r="F6">
        <v>3</v>
      </c>
      <c r="G6">
        <v>6</v>
      </c>
      <c r="H6">
        <v>4</v>
      </c>
      <c r="I6">
        <v>5</v>
      </c>
      <c r="J6">
        <v>7</v>
      </c>
      <c r="K6" t="s">
        <v>38</v>
      </c>
      <c r="L6" t="s">
        <v>26</v>
      </c>
      <c r="M6" t="s">
        <v>53</v>
      </c>
      <c r="N6" t="s">
        <v>28</v>
      </c>
      <c r="O6" t="s">
        <v>54</v>
      </c>
      <c r="P6" t="s">
        <v>48</v>
      </c>
      <c r="Q6" t="s">
        <v>31</v>
      </c>
      <c r="R6" t="s">
        <v>49</v>
      </c>
      <c r="S6" t="s">
        <v>33</v>
      </c>
      <c r="T6" t="s">
        <v>27</v>
      </c>
      <c r="U6" t="s">
        <v>34</v>
      </c>
      <c r="V6" t="s">
        <v>35</v>
      </c>
      <c r="W6" t="s">
        <v>59</v>
      </c>
      <c r="X6" t="s">
        <v>58</v>
      </c>
      <c r="AL6" t="s">
        <v>35</v>
      </c>
      <c r="AM6" t="s">
        <v>36</v>
      </c>
      <c r="AN6">
        <v>3</v>
      </c>
      <c r="AO6">
        <v>3</v>
      </c>
      <c r="AP6">
        <v>3</v>
      </c>
      <c r="AQ6">
        <v>3</v>
      </c>
    </row>
    <row r="7" spans="1:43" x14ac:dyDescent="0.3">
      <c r="A7" t="s">
        <v>24</v>
      </c>
      <c r="B7">
        <v>24</v>
      </c>
      <c r="C7" t="s">
        <v>38</v>
      </c>
      <c r="D7">
        <v>7</v>
      </c>
      <c r="E7">
        <v>5</v>
      </c>
      <c r="F7">
        <v>4</v>
      </c>
      <c r="G7">
        <v>6</v>
      </c>
      <c r="H7">
        <v>3</v>
      </c>
      <c r="I7">
        <v>1</v>
      </c>
      <c r="J7">
        <v>2</v>
      </c>
      <c r="K7" t="s">
        <v>38</v>
      </c>
      <c r="L7" t="s">
        <v>60</v>
      </c>
      <c r="M7" t="s">
        <v>27</v>
      </c>
      <c r="N7" t="s">
        <v>28</v>
      </c>
      <c r="O7" t="s">
        <v>29</v>
      </c>
      <c r="P7" t="s">
        <v>48</v>
      </c>
      <c r="Q7" t="s">
        <v>61</v>
      </c>
      <c r="R7" t="s">
        <v>32</v>
      </c>
      <c r="S7" t="s">
        <v>33</v>
      </c>
      <c r="T7" t="s">
        <v>62</v>
      </c>
      <c r="U7" t="s">
        <v>56</v>
      </c>
      <c r="V7" t="s">
        <v>35</v>
      </c>
      <c r="W7" t="s">
        <v>59</v>
      </c>
      <c r="X7" t="s">
        <v>58</v>
      </c>
      <c r="AM7" t="s">
        <v>59</v>
      </c>
      <c r="AN7">
        <v>1</v>
      </c>
      <c r="AO7">
        <v>1</v>
      </c>
      <c r="AP7">
        <v>1</v>
      </c>
      <c r="AQ7">
        <v>1</v>
      </c>
    </row>
    <row r="8" spans="1:43" x14ac:dyDescent="0.3">
      <c r="A8" t="s">
        <v>24</v>
      </c>
      <c r="B8">
        <v>27</v>
      </c>
      <c r="C8" t="s">
        <v>25</v>
      </c>
      <c r="D8">
        <v>3</v>
      </c>
      <c r="E8">
        <v>6</v>
      </c>
      <c r="F8">
        <v>4</v>
      </c>
      <c r="G8">
        <v>2</v>
      </c>
      <c r="H8">
        <v>5</v>
      </c>
      <c r="I8">
        <v>1</v>
      </c>
      <c r="J8">
        <v>7</v>
      </c>
      <c r="K8" t="s">
        <v>25</v>
      </c>
      <c r="L8" t="s">
        <v>26</v>
      </c>
      <c r="M8" t="s">
        <v>27</v>
      </c>
      <c r="N8" t="s">
        <v>28</v>
      </c>
      <c r="O8" t="s">
        <v>47</v>
      </c>
      <c r="P8" t="s">
        <v>30</v>
      </c>
      <c r="Q8" t="s">
        <v>31</v>
      </c>
      <c r="R8" t="s">
        <v>49</v>
      </c>
      <c r="S8" t="s">
        <v>33</v>
      </c>
      <c r="T8" t="s">
        <v>27</v>
      </c>
      <c r="U8" t="s">
        <v>34</v>
      </c>
      <c r="V8" t="s">
        <v>51</v>
      </c>
      <c r="W8" t="s">
        <v>44</v>
      </c>
      <c r="X8" t="s">
        <v>45</v>
      </c>
      <c r="AL8" t="s">
        <v>77</v>
      </c>
      <c r="AN8">
        <v>4</v>
      </c>
      <c r="AO8">
        <v>4</v>
      </c>
      <c r="AP8">
        <v>4</v>
      </c>
      <c r="AQ8">
        <v>4</v>
      </c>
    </row>
    <row r="9" spans="1:43" x14ac:dyDescent="0.3">
      <c r="A9" t="s">
        <v>46</v>
      </c>
      <c r="B9">
        <v>21</v>
      </c>
      <c r="C9" t="s">
        <v>25</v>
      </c>
      <c r="D9">
        <v>2</v>
      </c>
      <c r="E9">
        <v>3</v>
      </c>
      <c r="F9">
        <v>7</v>
      </c>
      <c r="G9">
        <v>4</v>
      </c>
      <c r="H9">
        <v>6</v>
      </c>
      <c r="I9">
        <v>1</v>
      </c>
      <c r="J9">
        <v>5</v>
      </c>
      <c r="K9" t="s">
        <v>25</v>
      </c>
      <c r="L9" t="s">
        <v>60</v>
      </c>
      <c r="M9" t="s">
        <v>27</v>
      </c>
      <c r="N9" t="s">
        <v>28</v>
      </c>
      <c r="O9" t="s">
        <v>47</v>
      </c>
      <c r="P9" t="s">
        <v>30</v>
      </c>
      <c r="Q9" t="s">
        <v>31</v>
      </c>
      <c r="R9" t="s">
        <v>32</v>
      </c>
      <c r="S9" t="s">
        <v>33</v>
      </c>
      <c r="T9" t="s">
        <v>27</v>
      </c>
      <c r="U9" t="s">
        <v>34</v>
      </c>
      <c r="V9" t="s">
        <v>51</v>
      </c>
      <c r="W9" t="s">
        <v>59</v>
      </c>
      <c r="X9" t="s">
        <v>37</v>
      </c>
      <c r="AK9" t="s">
        <v>78</v>
      </c>
      <c r="AN9">
        <v>18</v>
      </c>
      <c r="AO9">
        <v>18</v>
      </c>
      <c r="AP9">
        <v>18</v>
      </c>
      <c r="AQ9">
        <v>18</v>
      </c>
    </row>
    <row r="10" spans="1:43" x14ac:dyDescent="0.3">
      <c r="A10" t="s">
        <v>46</v>
      </c>
      <c r="B10">
        <v>35</v>
      </c>
      <c r="C10" t="s">
        <v>25</v>
      </c>
      <c r="D10">
        <v>2</v>
      </c>
      <c r="E10">
        <v>4</v>
      </c>
      <c r="F10">
        <v>7</v>
      </c>
      <c r="G10">
        <v>5</v>
      </c>
      <c r="H10">
        <v>3</v>
      </c>
      <c r="I10">
        <v>1</v>
      </c>
      <c r="J10">
        <v>6</v>
      </c>
      <c r="K10" t="s">
        <v>25</v>
      </c>
      <c r="L10" t="s">
        <v>26</v>
      </c>
      <c r="M10" t="s">
        <v>63</v>
      </c>
      <c r="N10" t="s">
        <v>64</v>
      </c>
      <c r="O10" t="s">
        <v>29</v>
      </c>
      <c r="P10" t="s">
        <v>41</v>
      </c>
      <c r="Q10" t="s">
        <v>31</v>
      </c>
      <c r="R10" t="s">
        <v>49</v>
      </c>
      <c r="S10" t="s">
        <v>33</v>
      </c>
      <c r="T10" t="s">
        <v>27</v>
      </c>
      <c r="U10" t="s">
        <v>56</v>
      </c>
      <c r="V10" t="s">
        <v>35</v>
      </c>
      <c r="W10" t="s">
        <v>36</v>
      </c>
      <c r="X10" t="s">
        <v>52</v>
      </c>
      <c r="AK10" t="s">
        <v>56</v>
      </c>
      <c r="AL10" t="s">
        <v>51</v>
      </c>
      <c r="AM10" t="s">
        <v>36</v>
      </c>
      <c r="AN10">
        <v>3</v>
      </c>
      <c r="AO10">
        <v>3</v>
      </c>
      <c r="AP10">
        <v>3</v>
      </c>
      <c r="AQ10">
        <v>3</v>
      </c>
    </row>
    <row r="11" spans="1:43" x14ac:dyDescent="0.3">
      <c r="A11" t="s">
        <v>46</v>
      </c>
      <c r="B11">
        <v>31</v>
      </c>
      <c r="C11" t="s">
        <v>25</v>
      </c>
      <c r="D11">
        <v>1</v>
      </c>
      <c r="E11">
        <v>3</v>
      </c>
      <c r="F11">
        <v>7</v>
      </c>
      <c r="G11">
        <v>4</v>
      </c>
      <c r="H11">
        <v>5</v>
      </c>
      <c r="I11">
        <v>2</v>
      </c>
      <c r="J11">
        <v>6</v>
      </c>
      <c r="K11" t="s">
        <v>25</v>
      </c>
      <c r="L11" t="s">
        <v>26</v>
      </c>
      <c r="M11" t="s">
        <v>27</v>
      </c>
      <c r="N11" t="s">
        <v>28</v>
      </c>
      <c r="O11" t="s">
        <v>47</v>
      </c>
      <c r="P11" t="s">
        <v>30</v>
      </c>
      <c r="Q11" t="s">
        <v>61</v>
      </c>
      <c r="R11" t="s">
        <v>65</v>
      </c>
      <c r="S11" t="s">
        <v>33</v>
      </c>
      <c r="T11" t="s">
        <v>27</v>
      </c>
      <c r="U11" t="s">
        <v>56</v>
      </c>
      <c r="V11" t="s">
        <v>51</v>
      </c>
      <c r="W11" t="s">
        <v>36</v>
      </c>
      <c r="X11" t="s">
        <v>37</v>
      </c>
      <c r="AM11" t="s">
        <v>59</v>
      </c>
      <c r="AN11">
        <v>4</v>
      </c>
      <c r="AO11">
        <v>4</v>
      </c>
      <c r="AP11">
        <v>4</v>
      </c>
      <c r="AQ11">
        <v>4</v>
      </c>
    </row>
    <row r="12" spans="1:43" x14ac:dyDescent="0.3">
      <c r="A12" t="s">
        <v>24</v>
      </c>
      <c r="B12">
        <v>35</v>
      </c>
      <c r="C12" t="s">
        <v>25</v>
      </c>
      <c r="D12">
        <v>2</v>
      </c>
      <c r="E12">
        <v>4</v>
      </c>
      <c r="F12">
        <v>7</v>
      </c>
      <c r="G12">
        <v>5</v>
      </c>
      <c r="H12">
        <v>3</v>
      </c>
      <c r="I12">
        <v>1</v>
      </c>
      <c r="J12">
        <v>6</v>
      </c>
      <c r="K12" t="s">
        <v>25</v>
      </c>
      <c r="L12" t="s">
        <v>60</v>
      </c>
      <c r="M12" t="s">
        <v>63</v>
      </c>
      <c r="N12" t="s">
        <v>64</v>
      </c>
      <c r="O12" t="s">
        <v>47</v>
      </c>
      <c r="P12" t="s">
        <v>30</v>
      </c>
      <c r="Q12" t="s">
        <v>31</v>
      </c>
      <c r="R12" t="s">
        <v>32</v>
      </c>
      <c r="S12" t="s">
        <v>33</v>
      </c>
      <c r="T12" t="s">
        <v>27</v>
      </c>
      <c r="U12" t="s">
        <v>34</v>
      </c>
      <c r="V12" t="s">
        <v>51</v>
      </c>
      <c r="W12" t="s">
        <v>59</v>
      </c>
      <c r="X12" t="s">
        <v>45</v>
      </c>
      <c r="AL12" t="s">
        <v>76</v>
      </c>
      <c r="AN12">
        <v>7</v>
      </c>
      <c r="AO12">
        <v>7</v>
      </c>
      <c r="AP12">
        <v>7</v>
      </c>
      <c r="AQ12">
        <v>7</v>
      </c>
    </row>
    <row r="13" spans="1:43" x14ac:dyDescent="0.3">
      <c r="A13" t="s">
        <v>46</v>
      </c>
      <c r="B13">
        <v>29</v>
      </c>
      <c r="C13" t="s">
        <v>25</v>
      </c>
      <c r="D13">
        <v>2</v>
      </c>
      <c r="E13">
        <v>5</v>
      </c>
      <c r="F13">
        <v>7</v>
      </c>
      <c r="G13">
        <v>6</v>
      </c>
      <c r="H13">
        <v>3</v>
      </c>
      <c r="I13">
        <v>1</v>
      </c>
      <c r="J13">
        <v>4</v>
      </c>
      <c r="K13" t="s">
        <v>25</v>
      </c>
      <c r="L13" t="s">
        <v>60</v>
      </c>
      <c r="M13" t="s">
        <v>27</v>
      </c>
      <c r="N13" t="s">
        <v>28</v>
      </c>
      <c r="O13" t="s">
        <v>29</v>
      </c>
      <c r="P13" t="s">
        <v>30</v>
      </c>
      <c r="Q13" t="s">
        <v>31</v>
      </c>
      <c r="R13" t="s">
        <v>32</v>
      </c>
      <c r="S13" t="s">
        <v>33</v>
      </c>
      <c r="T13" t="s">
        <v>27</v>
      </c>
      <c r="U13" t="s">
        <v>56</v>
      </c>
      <c r="V13" t="s">
        <v>51</v>
      </c>
      <c r="W13" t="s">
        <v>36</v>
      </c>
      <c r="X13" t="s">
        <v>45</v>
      </c>
      <c r="AL13" t="s">
        <v>35</v>
      </c>
      <c r="AM13" t="s">
        <v>36</v>
      </c>
      <c r="AN13">
        <v>2</v>
      </c>
      <c r="AO13">
        <v>2</v>
      </c>
      <c r="AP13">
        <v>2</v>
      </c>
      <c r="AQ13">
        <v>2</v>
      </c>
    </row>
    <row r="14" spans="1:43" x14ac:dyDescent="0.3">
      <c r="A14" t="s">
        <v>24</v>
      </c>
      <c r="B14">
        <v>21</v>
      </c>
      <c r="C14" t="s">
        <v>38</v>
      </c>
      <c r="D14">
        <v>1</v>
      </c>
      <c r="E14">
        <v>2</v>
      </c>
      <c r="F14">
        <v>3</v>
      </c>
      <c r="G14">
        <v>4</v>
      </c>
      <c r="H14">
        <v>5</v>
      </c>
      <c r="I14">
        <v>6</v>
      </c>
      <c r="J14">
        <v>7</v>
      </c>
      <c r="K14" t="s">
        <v>38</v>
      </c>
      <c r="L14" t="s">
        <v>26</v>
      </c>
      <c r="M14" t="s">
        <v>27</v>
      </c>
      <c r="N14" t="s">
        <v>64</v>
      </c>
      <c r="O14" t="s">
        <v>29</v>
      </c>
      <c r="P14" t="s">
        <v>41</v>
      </c>
      <c r="Q14" t="s">
        <v>31</v>
      </c>
      <c r="R14" t="s">
        <v>32</v>
      </c>
      <c r="S14" t="s">
        <v>66</v>
      </c>
      <c r="T14" t="s">
        <v>43</v>
      </c>
      <c r="U14" t="s">
        <v>34</v>
      </c>
      <c r="V14" t="s">
        <v>35</v>
      </c>
      <c r="W14" t="s">
        <v>59</v>
      </c>
      <c r="X14" t="s">
        <v>58</v>
      </c>
      <c r="AL14" t="s">
        <v>77</v>
      </c>
      <c r="AN14">
        <v>2</v>
      </c>
      <c r="AO14">
        <v>2</v>
      </c>
      <c r="AP14">
        <v>2</v>
      </c>
      <c r="AQ14">
        <v>2</v>
      </c>
    </row>
    <row r="15" spans="1:43" x14ac:dyDescent="0.3">
      <c r="A15" t="s">
        <v>24</v>
      </c>
      <c r="B15">
        <v>28</v>
      </c>
      <c r="C15" t="s">
        <v>25</v>
      </c>
      <c r="D15">
        <v>2</v>
      </c>
      <c r="E15">
        <v>3</v>
      </c>
      <c r="F15">
        <v>7</v>
      </c>
      <c r="G15">
        <v>4</v>
      </c>
      <c r="H15">
        <v>5</v>
      </c>
      <c r="I15">
        <v>1</v>
      </c>
      <c r="J15">
        <v>6</v>
      </c>
      <c r="K15" t="s">
        <v>25</v>
      </c>
      <c r="L15" t="s">
        <v>26</v>
      </c>
      <c r="M15" t="s">
        <v>27</v>
      </c>
      <c r="N15" t="s">
        <v>28</v>
      </c>
      <c r="O15" t="s">
        <v>29</v>
      </c>
      <c r="P15" t="s">
        <v>30</v>
      </c>
      <c r="Q15" t="s">
        <v>31</v>
      </c>
      <c r="R15" t="s">
        <v>32</v>
      </c>
      <c r="S15" t="s">
        <v>33</v>
      </c>
      <c r="T15" t="s">
        <v>27</v>
      </c>
      <c r="U15" t="s">
        <v>56</v>
      </c>
      <c r="V15" t="s">
        <v>51</v>
      </c>
      <c r="W15" t="s">
        <v>59</v>
      </c>
      <c r="X15" t="s">
        <v>37</v>
      </c>
      <c r="AK15" t="s">
        <v>79</v>
      </c>
      <c r="AN15">
        <v>9</v>
      </c>
      <c r="AO15">
        <v>9</v>
      </c>
      <c r="AP15">
        <v>9</v>
      </c>
      <c r="AQ15">
        <v>9</v>
      </c>
    </row>
    <row r="16" spans="1:43" x14ac:dyDescent="0.3">
      <c r="A16" t="s">
        <v>24</v>
      </c>
      <c r="B16">
        <v>25</v>
      </c>
      <c r="C16" t="s">
        <v>25</v>
      </c>
      <c r="D16">
        <v>2</v>
      </c>
      <c r="E16">
        <v>3</v>
      </c>
      <c r="F16">
        <v>7</v>
      </c>
      <c r="G16">
        <v>5</v>
      </c>
      <c r="H16">
        <v>4</v>
      </c>
      <c r="I16">
        <v>1</v>
      </c>
      <c r="J16">
        <v>6</v>
      </c>
      <c r="K16" t="s">
        <v>25</v>
      </c>
      <c r="L16" t="s">
        <v>26</v>
      </c>
      <c r="M16" t="s">
        <v>27</v>
      </c>
      <c r="N16" t="s">
        <v>28</v>
      </c>
      <c r="O16" t="s">
        <v>29</v>
      </c>
      <c r="P16" t="s">
        <v>30</v>
      </c>
      <c r="Q16" t="s">
        <v>31</v>
      </c>
      <c r="R16" t="s">
        <v>65</v>
      </c>
      <c r="S16" t="s">
        <v>42</v>
      </c>
      <c r="T16" t="s">
        <v>43</v>
      </c>
      <c r="U16" t="s">
        <v>34</v>
      </c>
      <c r="V16" t="s">
        <v>51</v>
      </c>
      <c r="W16" t="s">
        <v>59</v>
      </c>
      <c r="X16" t="s">
        <v>45</v>
      </c>
      <c r="AK16" t="s">
        <v>50</v>
      </c>
      <c r="AL16" t="s">
        <v>51</v>
      </c>
      <c r="AM16" t="s">
        <v>36</v>
      </c>
      <c r="AN16">
        <v>1</v>
      </c>
      <c r="AO16">
        <v>1</v>
      </c>
      <c r="AP16">
        <v>1</v>
      </c>
      <c r="AQ16">
        <v>1</v>
      </c>
    </row>
    <row r="17" spans="1:43" x14ac:dyDescent="0.3">
      <c r="A17" t="s">
        <v>46</v>
      </c>
      <c r="B17">
        <v>27</v>
      </c>
      <c r="C17" t="s">
        <v>25</v>
      </c>
      <c r="D17">
        <v>2</v>
      </c>
      <c r="E17">
        <v>3</v>
      </c>
      <c r="F17">
        <v>7</v>
      </c>
      <c r="G17">
        <v>5</v>
      </c>
      <c r="H17">
        <v>4</v>
      </c>
      <c r="I17">
        <v>1</v>
      </c>
      <c r="J17">
        <v>6</v>
      </c>
      <c r="K17" t="s">
        <v>25</v>
      </c>
      <c r="L17" t="s">
        <v>26</v>
      </c>
      <c r="M17" t="s">
        <v>27</v>
      </c>
      <c r="N17" t="s">
        <v>28</v>
      </c>
      <c r="O17" t="s">
        <v>29</v>
      </c>
      <c r="P17" t="s">
        <v>30</v>
      </c>
      <c r="Q17" t="s">
        <v>31</v>
      </c>
      <c r="R17" t="s">
        <v>32</v>
      </c>
      <c r="S17" t="s">
        <v>42</v>
      </c>
      <c r="T17" t="s">
        <v>27</v>
      </c>
      <c r="U17" t="s">
        <v>56</v>
      </c>
      <c r="V17" t="s">
        <v>51</v>
      </c>
      <c r="W17" t="s">
        <v>59</v>
      </c>
      <c r="X17" t="s">
        <v>37</v>
      </c>
      <c r="AL17" t="s">
        <v>76</v>
      </c>
      <c r="AN17">
        <v>1</v>
      </c>
      <c r="AO17">
        <v>1</v>
      </c>
      <c r="AP17">
        <v>1</v>
      </c>
      <c r="AQ17">
        <v>1</v>
      </c>
    </row>
    <row r="18" spans="1:43" x14ac:dyDescent="0.3">
      <c r="A18" t="s">
        <v>24</v>
      </c>
      <c r="B18">
        <v>28</v>
      </c>
      <c r="C18" t="s">
        <v>25</v>
      </c>
      <c r="D18">
        <v>3</v>
      </c>
      <c r="E18">
        <v>2</v>
      </c>
      <c r="F18">
        <v>7</v>
      </c>
      <c r="G18">
        <v>5</v>
      </c>
      <c r="H18">
        <v>4</v>
      </c>
      <c r="I18">
        <v>1</v>
      </c>
      <c r="J18">
        <v>6</v>
      </c>
      <c r="K18" t="s">
        <v>25</v>
      </c>
      <c r="L18" t="s">
        <v>60</v>
      </c>
      <c r="M18" t="s">
        <v>63</v>
      </c>
      <c r="N18" t="s">
        <v>28</v>
      </c>
      <c r="O18" t="s">
        <v>29</v>
      </c>
      <c r="P18" t="s">
        <v>30</v>
      </c>
      <c r="Q18" t="s">
        <v>31</v>
      </c>
      <c r="R18" t="s">
        <v>65</v>
      </c>
      <c r="S18" t="s">
        <v>42</v>
      </c>
      <c r="T18" t="s">
        <v>27</v>
      </c>
      <c r="U18" t="s">
        <v>56</v>
      </c>
      <c r="V18" t="s">
        <v>51</v>
      </c>
      <c r="W18" t="s">
        <v>59</v>
      </c>
      <c r="X18" t="s">
        <v>52</v>
      </c>
      <c r="AL18" t="s">
        <v>35</v>
      </c>
      <c r="AM18" t="s">
        <v>36</v>
      </c>
      <c r="AN18">
        <v>2</v>
      </c>
      <c r="AO18">
        <v>2</v>
      </c>
      <c r="AP18">
        <v>2</v>
      </c>
      <c r="AQ18">
        <v>2</v>
      </c>
    </row>
    <row r="19" spans="1:43" x14ac:dyDescent="0.3">
      <c r="A19" t="s">
        <v>46</v>
      </c>
      <c r="B19">
        <v>27</v>
      </c>
      <c r="C19" t="s">
        <v>25</v>
      </c>
      <c r="D19">
        <v>3</v>
      </c>
      <c r="E19">
        <v>2</v>
      </c>
      <c r="F19">
        <v>7</v>
      </c>
      <c r="G19">
        <v>4</v>
      </c>
      <c r="H19">
        <v>5</v>
      </c>
      <c r="I19">
        <v>1</v>
      </c>
      <c r="J19">
        <v>6</v>
      </c>
      <c r="K19" t="s">
        <v>25</v>
      </c>
      <c r="L19" t="s">
        <v>26</v>
      </c>
      <c r="M19" t="s">
        <v>27</v>
      </c>
      <c r="N19" t="s">
        <v>28</v>
      </c>
      <c r="O19" t="s">
        <v>29</v>
      </c>
      <c r="P19" t="s">
        <v>30</v>
      </c>
      <c r="Q19" t="s">
        <v>31</v>
      </c>
      <c r="R19" t="s">
        <v>32</v>
      </c>
      <c r="S19" t="s">
        <v>33</v>
      </c>
      <c r="T19" t="s">
        <v>27</v>
      </c>
      <c r="U19" t="s">
        <v>34</v>
      </c>
      <c r="V19" t="s">
        <v>51</v>
      </c>
      <c r="W19" t="s">
        <v>59</v>
      </c>
      <c r="X19" t="s">
        <v>45</v>
      </c>
      <c r="AL19" t="s">
        <v>77</v>
      </c>
      <c r="AN19">
        <v>2</v>
      </c>
      <c r="AO19">
        <v>2</v>
      </c>
      <c r="AP19">
        <v>2</v>
      </c>
      <c r="AQ19">
        <v>2</v>
      </c>
    </row>
    <row r="20" spans="1:43" x14ac:dyDescent="0.3">
      <c r="A20" t="s">
        <v>46</v>
      </c>
      <c r="B20">
        <v>29</v>
      </c>
      <c r="C20" t="s">
        <v>25</v>
      </c>
      <c r="D20">
        <v>3</v>
      </c>
      <c r="E20">
        <v>2</v>
      </c>
      <c r="F20">
        <v>7</v>
      </c>
      <c r="G20">
        <v>4</v>
      </c>
      <c r="H20">
        <v>5</v>
      </c>
      <c r="I20">
        <v>1</v>
      </c>
      <c r="J20">
        <v>6</v>
      </c>
      <c r="K20" t="s">
        <v>25</v>
      </c>
      <c r="L20" t="s">
        <v>60</v>
      </c>
      <c r="M20" t="s">
        <v>27</v>
      </c>
      <c r="N20" t="s">
        <v>28</v>
      </c>
      <c r="O20" t="s">
        <v>29</v>
      </c>
      <c r="P20" t="s">
        <v>30</v>
      </c>
      <c r="Q20" t="s">
        <v>31</v>
      </c>
      <c r="R20" t="s">
        <v>32</v>
      </c>
      <c r="S20" t="s">
        <v>33</v>
      </c>
      <c r="T20" t="s">
        <v>27</v>
      </c>
      <c r="U20" t="s">
        <v>34</v>
      </c>
      <c r="V20" t="s">
        <v>51</v>
      </c>
      <c r="W20" t="s">
        <v>59</v>
      </c>
      <c r="X20" t="s">
        <v>37</v>
      </c>
      <c r="AK20" t="s">
        <v>80</v>
      </c>
      <c r="AN20">
        <v>3</v>
      </c>
      <c r="AO20">
        <v>3</v>
      </c>
      <c r="AP20">
        <v>3</v>
      </c>
      <c r="AQ20">
        <v>3</v>
      </c>
    </row>
    <row r="21" spans="1:43" x14ac:dyDescent="0.3">
      <c r="A21" t="s">
        <v>46</v>
      </c>
      <c r="B21">
        <v>26</v>
      </c>
      <c r="C21" t="s">
        <v>25</v>
      </c>
      <c r="D21">
        <v>3</v>
      </c>
      <c r="E21">
        <v>4</v>
      </c>
      <c r="F21">
        <v>6</v>
      </c>
      <c r="G21">
        <v>5</v>
      </c>
      <c r="H21">
        <v>1</v>
      </c>
      <c r="I21">
        <v>2</v>
      </c>
      <c r="J21">
        <v>7</v>
      </c>
      <c r="K21" t="s">
        <v>25</v>
      </c>
      <c r="L21" t="s">
        <v>60</v>
      </c>
      <c r="M21" t="s">
        <v>27</v>
      </c>
      <c r="N21" t="s">
        <v>28</v>
      </c>
      <c r="O21" t="s">
        <v>47</v>
      </c>
      <c r="P21" t="s">
        <v>30</v>
      </c>
      <c r="Q21" t="s">
        <v>31</v>
      </c>
      <c r="R21" t="s">
        <v>65</v>
      </c>
      <c r="S21" t="s">
        <v>42</v>
      </c>
      <c r="T21" t="s">
        <v>27</v>
      </c>
      <c r="U21" t="s">
        <v>56</v>
      </c>
      <c r="V21" t="s">
        <v>51</v>
      </c>
      <c r="W21" t="s">
        <v>59</v>
      </c>
      <c r="X21" t="s">
        <v>37</v>
      </c>
      <c r="AJ21" t="s">
        <v>81</v>
      </c>
      <c r="AN21">
        <v>30</v>
      </c>
      <c r="AO21">
        <v>30</v>
      </c>
      <c r="AP21">
        <v>30</v>
      </c>
      <c r="AQ21">
        <v>30</v>
      </c>
    </row>
    <row r="22" spans="1:43" x14ac:dyDescent="0.3">
      <c r="A22" t="s">
        <v>46</v>
      </c>
      <c r="B22">
        <v>29</v>
      </c>
      <c r="C22" t="s">
        <v>25</v>
      </c>
      <c r="D22">
        <v>2</v>
      </c>
      <c r="E22">
        <v>4</v>
      </c>
      <c r="F22">
        <v>7</v>
      </c>
      <c r="G22">
        <v>5</v>
      </c>
      <c r="H22">
        <v>3</v>
      </c>
      <c r="I22">
        <v>1</v>
      </c>
      <c r="J22">
        <v>6</v>
      </c>
      <c r="K22" t="s">
        <v>25</v>
      </c>
      <c r="L22" t="s">
        <v>26</v>
      </c>
      <c r="M22" t="s">
        <v>63</v>
      </c>
      <c r="N22" t="s">
        <v>28</v>
      </c>
      <c r="O22" t="s">
        <v>47</v>
      </c>
      <c r="P22" t="s">
        <v>41</v>
      </c>
      <c r="Q22" t="s">
        <v>31</v>
      </c>
      <c r="R22" t="s">
        <v>32</v>
      </c>
      <c r="S22" t="s">
        <v>33</v>
      </c>
      <c r="T22" t="s">
        <v>27</v>
      </c>
      <c r="U22" t="s">
        <v>34</v>
      </c>
      <c r="V22" t="s">
        <v>51</v>
      </c>
      <c r="W22" t="s">
        <v>36</v>
      </c>
      <c r="X22" t="s">
        <v>45</v>
      </c>
      <c r="AJ22" t="s">
        <v>43</v>
      </c>
      <c r="AK22" t="s">
        <v>34</v>
      </c>
      <c r="AL22" t="s">
        <v>51</v>
      </c>
      <c r="AM22" t="s">
        <v>59</v>
      </c>
      <c r="AN22">
        <v>1</v>
      </c>
      <c r="AO22">
        <v>1</v>
      </c>
      <c r="AP22">
        <v>1</v>
      </c>
      <c r="AQ22">
        <v>1</v>
      </c>
    </row>
    <row r="23" spans="1:43" x14ac:dyDescent="0.3">
      <c r="A23" t="s">
        <v>24</v>
      </c>
      <c r="B23">
        <v>24</v>
      </c>
      <c r="C23" t="s">
        <v>25</v>
      </c>
      <c r="D23">
        <v>2</v>
      </c>
      <c r="E23">
        <v>4</v>
      </c>
      <c r="F23">
        <v>5</v>
      </c>
      <c r="G23">
        <v>6</v>
      </c>
      <c r="H23">
        <v>3</v>
      </c>
      <c r="I23">
        <v>1</v>
      </c>
      <c r="J23">
        <v>7</v>
      </c>
      <c r="K23" t="s">
        <v>25</v>
      </c>
      <c r="L23" t="s">
        <v>60</v>
      </c>
      <c r="M23" t="s">
        <v>27</v>
      </c>
      <c r="N23" t="s">
        <v>28</v>
      </c>
      <c r="O23" t="s">
        <v>47</v>
      </c>
      <c r="P23" t="s">
        <v>30</v>
      </c>
      <c r="Q23" t="s">
        <v>31</v>
      </c>
      <c r="R23" t="s">
        <v>49</v>
      </c>
      <c r="S23" t="s">
        <v>42</v>
      </c>
      <c r="T23" t="s">
        <v>27</v>
      </c>
      <c r="U23" t="s">
        <v>34</v>
      </c>
      <c r="V23" t="s">
        <v>51</v>
      </c>
      <c r="W23" t="s">
        <v>59</v>
      </c>
      <c r="X23" t="s">
        <v>37</v>
      </c>
      <c r="AL23" t="s">
        <v>76</v>
      </c>
      <c r="AN23">
        <v>1</v>
      </c>
      <c r="AO23">
        <v>1</v>
      </c>
      <c r="AP23">
        <v>1</v>
      </c>
      <c r="AQ23">
        <v>1</v>
      </c>
    </row>
    <row r="24" spans="1:43" x14ac:dyDescent="0.3">
      <c r="A24" t="s">
        <v>46</v>
      </c>
      <c r="B24">
        <v>27</v>
      </c>
      <c r="C24" t="s">
        <v>25</v>
      </c>
      <c r="D24">
        <v>3</v>
      </c>
      <c r="E24">
        <v>4</v>
      </c>
      <c r="F24">
        <v>6</v>
      </c>
      <c r="G24">
        <v>5</v>
      </c>
      <c r="H24">
        <v>2</v>
      </c>
      <c r="I24">
        <v>1</v>
      </c>
      <c r="J24">
        <v>7</v>
      </c>
      <c r="K24" t="s">
        <v>25</v>
      </c>
      <c r="L24" t="s">
        <v>26</v>
      </c>
      <c r="M24" t="s">
        <v>27</v>
      </c>
      <c r="N24" t="s">
        <v>28</v>
      </c>
      <c r="O24" t="s">
        <v>47</v>
      </c>
      <c r="P24" t="s">
        <v>30</v>
      </c>
      <c r="Q24" t="s">
        <v>31</v>
      </c>
      <c r="R24" t="s">
        <v>32</v>
      </c>
      <c r="S24" t="s">
        <v>33</v>
      </c>
      <c r="T24" t="s">
        <v>27</v>
      </c>
      <c r="U24" t="s">
        <v>34</v>
      </c>
      <c r="V24" t="s">
        <v>51</v>
      </c>
      <c r="W24" t="s">
        <v>59</v>
      </c>
      <c r="X24" t="s">
        <v>45</v>
      </c>
      <c r="AL24" t="s">
        <v>35</v>
      </c>
      <c r="AM24" t="s">
        <v>36</v>
      </c>
      <c r="AN24">
        <v>1</v>
      </c>
      <c r="AO24">
        <v>1</v>
      </c>
      <c r="AP24">
        <v>1</v>
      </c>
      <c r="AQ24">
        <v>1</v>
      </c>
    </row>
    <row r="25" spans="1:43" x14ac:dyDescent="0.3">
      <c r="A25" t="s">
        <v>46</v>
      </c>
      <c r="B25">
        <v>25</v>
      </c>
      <c r="C25" t="s">
        <v>25</v>
      </c>
      <c r="D25">
        <v>2</v>
      </c>
      <c r="E25">
        <v>4</v>
      </c>
      <c r="F25">
        <v>6</v>
      </c>
      <c r="G25">
        <v>5</v>
      </c>
      <c r="H25">
        <v>3</v>
      </c>
      <c r="I25">
        <v>1</v>
      </c>
      <c r="J25">
        <v>7</v>
      </c>
      <c r="K25" t="s">
        <v>25</v>
      </c>
      <c r="L25" t="s">
        <v>60</v>
      </c>
      <c r="M25" t="s">
        <v>63</v>
      </c>
      <c r="N25" t="s">
        <v>64</v>
      </c>
      <c r="O25" t="s">
        <v>47</v>
      </c>
      <c r="P25" t="s">
        <v>41</v>
      </c>
      <c r="Q25" t="s">
        <v>31</v>
      </c>
      <c r="R25" t="s">
        <v>67</v>
      </c>
      <c r="S25" t="s">
        <v>42</v>
      </c>
      <c r="T25" t="s">
        <v>62</v>
      </c>
      <c r="U25" t="s">
        <v>34</v>
      </c>
      <c r="V25" t="s">
        <v>51</v>
      </c>
      <c r="W25" t="s">
        <v>59</v>
      </c>
      <c r="X25" t="s">
        <v>45</v>
      </c>
      <c r="AM25" t="s">
        <v>44</v>
      </c>
      <c r="AN25">
        <v>1</v>
      </c>
      <c r="AO25">
        <v>1</v>
      </c>
      <c r="AP25">
        <v>1</v>
      </c>
      <c r="AQ25">
        <v>1</v>
      </c>
    </row>
    <row r="26" spans="1:43" x14ac:dyDescent="0.3">
      <c r="A26" t="s">
        <v>24</v>
      </c>
      <c r="B26">
        <v>26</v>
      </c>
      <c r="C26" t="s">
        <v>25</v>
      </c>
      <c r="D26">
        <v>2</v>
      </c>
      <c r="E26">
        <v>3</v>
      </c>
      <c r="F26">
        <v>7</v>
      </c>
      <c r="G26">
        <v>5</v>
      </c>
      <c r="H26">
        <v>4</v>
      </c>
      <c r="I26">
        <v>1</v>
      </c>
      <c r="J26">
        <v>6</v>
      </c>
      <c r="K26" t="s">
        <v>25</v>
      </c>
      <c r="L26" t="s">
        <v>26</v>
      </c>
      <c r="M26" t="s">
        <v>27</v>
      </c>
      <c r="N26" t="s">
        <v>28</v>
      </c>
      <c r="O26" t="s">
        <v>47</v>
      </c>
      <c r="P26" t="s">
        <v>30</v>
      </c>
      <c r="Q26" t="s">
        <v>61</v>
      </c>
      <c r="R26" t="s">
        <v>67</v>
      </c>
      <c r="S26" t="s">
        <v>33</v>
      </c>
      <c r="T26" t="s">
        <v>27</v>
      </c>
      <c r="U26" t="s">
        <v>34</v>
      </c>
      <c r="V26" t="s">
        <v>51</v>
      </c>
      <c r="W26" t="s">
        <v>59</v>
      </c>
      <c r="X26" t="s">
        <v>37</v>
      </c>
      <c r="AM26" t="s">
        <v>59</v>
      </c>
      <c r="AN26">
        <v>2</v>
      </c>
      <c r="AO26">
        <v>2</v>
      </c>
      <c r="AP26">
        <v>2</v>
      </c>
      <c r="AQ26">
        <v>2</v>
      </c>
    </row>
    <row r="27" spans="1:43" x14ac:dyDescent="0.3">
      <c r="A27" t="s">
        <v>24</v>
      </c>
      <c r="B27">
        <v>32</v>
      </c>
      <c r="C27" t="s">
        <v>25</v>
      </c>
      <c r="D27">
        <v>3</v>
      </c>
      <c r="E27">
        <v>4</v>
      </c>
      <c r="F27">
        <v>7</v>
      </c>
      <c r="G27">
        <v>5</v>
      </c>
      <c r="H27">
        <v>1</v>
      </c>
      <c r="I27">
        <v>2</v>
      </c>
      <c r="J27">
        <v>6</v>
      </c>
      <c r="K27" t="s">
        <v>25</v>
      </c>
      <c r="L27" t="s">
        <v>60</v>
      </c>
      <c r="M27" t="s">
        <v>63</v>
      </c>
      <c r="N27" t="s">
        <v>28</v>
      </c>
      <c r="O27" t="s">
        <v>47</v>
      </c>
      <c r="P27" t="s">
        <v>30</v>
      </c>
      <c r="Q27" t="s">
        <v>31</v>
      </c>
      <c r="R27" t="s">
        <v>32</v>
      </c>
      <c r="S27" t="s">
        <v>33</v>
      </c>
      <c r="T27" t="s">
        <v>27</v>
      </c>
      <c r="U27" t="s">
        <v>34</v>
      </c>
      <c r="V27" t="s">
        <v>51</v>
      </c>
      <c r="W27" t="s">
        <v>36</v>
      </c>
      <c r="X27" t="s">
        <v>45</v>
      </c>
      <c r="AL27" t="s">
        <v>77</v>
      </c>
      <c r="AN27">
        <v>4</v>
      </c>
      <c r="AO27">
        <v>4</v>
      </c>
      <c r="AP27">
        <v>4</v>
      </c>
      <c r="AQ27">
        <v>4</v>
      </c>
    </row>
    <row r="28" spans="1:43" x14ac:dyDescent="0.3">
      <c r="A28" t="s">
        <v>46</v>
      </c>
      <c r="B28">
        <v>26</v>
      </c>
      <c r="C28" t="s">
        <v>25</v>
      </c>
      <c r="D28">
        <v>3</v>
      </c>
      <c r="E28">
        <v>4</v>
      </c>
      <c r="F28">
        <v>6</v>
      </c>
      <c r="G28">
        <v>5</v>
      </c>
      <c r="H28">
        <v>1</v>
      </c>
      <c r="I28">
        <v>2</v>
      </c>
      <c r="J28">
        <v>7</v>
      </c>
      <c r="K28" t="s">
        <v>25</v>
      </c>
      <c r="L28" t="s">
        <v>26</v>
      </c>
      <c r="M28" t="s">
        <v>27</v>
      </c>
      <c r="N28" t="s">
        <v>28</v>
      </c>
      <c r="O28" t="s">
        <v>47</v>
      </c>
      <c r="P28" t="s">
        <v>30</v>
      </c>
      <c r="Q28" t="s">
        <v>31</v>
      </c>
      <c r="R28" t="s">
        <v>32</v>
      </c>
      <c r="S28" t="s">
        <v>33</v>
      </c>
      <c r="T28" t="s">
        <v>43</v>
      </c>
      <c r="U28" t="s">
        <v>56</v>
      </c>
      <c r="V28" t="s">
        <v>51</v>
      </c>
      <c r="W28" t="s">
        <v>36</v>
      </c>
      <c r="X28" t="s">
        <v>45</v>
      </c>
      <c r="AK28" t="s">
        <v>78</v>
      </c>
      <c r="AN28">
        <v>5</v>
      </c>
      <c r="AO28">
        <v>5</v>
      </c>
      <c r="AP28">
        <v>5</v>
      </c>
      <c r="AQ28">
        <v>5</v>
      </c>
    </row>
    <row r="29" spans="1:43" x14ac:dyDescent="0.3">
      <c r="A29" t="s">
        <v>46</v>
      </c>
      <c r="B29">
        <v>31</v>
      </c>
      <c r="C29" t="s">
        <v>25</v>
      </c>
      <c r="D29">
        <v>2</v>
      </c>
      <c r="E29">
        <v>3</v>
      </c>
      <c r="F29">
        <v>7</v>
      </c>
      <c r="G29">
        <v>6</v>
      </c>
      <c r="H29">
        <v>4</v>
      </c>
      <c r="I29">
        <v>1</v>
      </c>
      <c r="J29">
        <v>5</v>
      </c>
      <c r="K29" t="s">
        <v>25</v>
      </c>
      <c r="L29" t="s">
        <v>60</v>
      </c>
      <c r="M29" t="s">
        <v>63</v>
      </c>
      <c r="N29" t="s">
        <v>64</v>
      </c>
      <c r="O29" t="s">
        <v>29</v>
      </c>
      <c r="P29" t="s">
        <v>30</v>
      </c>
      <c r="Q29" t="s">
        <v>31</v>
      </c>
      <c r="R29" t="s">
        <v>65</v>
      </c>
      <c r="S29" t="s">
        <v>42</v>
      </c>
      <c r="T29" t="s">
        <v>27</v>
      </c>
      <c r="U29" t="s">
        <v>56</v>
      </c>
      <c r="V29" t="s">
        <v>35</v>
      </c>
      <c r="W29" t="s">
        <v>36</v>
      </c>
      <c r="X29" t="s">
        <v>52</v>
      </c>
      <c r="AK29" t="s">
        <v>56</v>
      </c>
      <c r="AL29" t="s">
        <v>51</v>
      </c>
      <c r="AM29" t="s">
        <v>36</v>
      </c>
      <c r="AN29">
        <v>2</v>
      </c>
      <c r="AO29">
        <v>2</v>
      </c>
      <c r="AP29">
        <v>2</v>
      </c>
      <c r="AQ29">
        <v>2</v>
      </c>
    </row>
    <row r="30" spans="1:43" x14ac:dyDescent="0.3">
      <c r="A30" t="s">
        <v>46</v>
      </c>
      <c r="B30">
        <v>29</v>
      </c>
      <c r="C30" t="s">
        <v>25</v>
      </c>
      <c r="D30">
        <v>2</v>
      </c>
      <c r="E30">
        <v>3</v>
      </c>
      <c r="F30">
        <v>6</v>
      </c>
      <c r="G30">
        <v>5</v>
      </c>
      <c r="H30">
        <v>1</v>
      </c>
      <c r="I30">
        <v>4</v>
      </c>
      <c r="J30">
        <v>7</v>
      </c>
      <c r="K30" t="s">
        <v>25</v>
      </c>
      <c r="L30" t="s">
        <v>26</v>
      </c>
      <c r="M30" t="s">
        <v>27</v>
      </c>
      <c r="N30" t="s">
        <v>28</v>
      </c>
      <c r="O30" t="s">
        <v>29</v>
      </c>
      <c r="P30" t="s">
        <v>30</v>
      </c>
      <c r="Q30" t="s">
        <v>31</v>
      </c>
      <c r="R30" t="s">
        <v>49</v>
      </c>
      <c r="S30" t="s">
        <v>33</v>
      </c>
      <c r="T30" t="s">
        <v>27</v>
      </c>
      <c r="U30" t="s">
        <v>34</v>
      </c>
      <c r="V30" t="s">
        <v>51</v>
      </c>
      <c r="W30" t="s">
        <v>59</v>
      </c>
      <c r="X30" t="s">
        <v>52</v>
      </c>
      <c r="AL30" t="s">
        <v>76</v>
      </c>
      <c r="AN30">
        <v>2</v>
      </c>
      <c r="AO30">
        <v>2</v>
      </c>
      <c r="AP30">
        <v>2</v>
      </c>
      <c r="AQ30">
        <v>2</v>
      </c>
    </row>
    <row r="31" spans="1:43" x14ac:dyDescent="0.3">
      <c r="A31" t="s">
        <v>24</v>
      </c>
      <c r="B31">
        <v>34</v>
      </c>
      <c r="C31" t="s">
        <v>25</v>
      </c>
      <c r="D31">
        <v>5</v>
      </c>
      <c r="E31">
        <v>4</v>
      </c>
      <c r="F31">
        <v>3</v>
      </c>
      <c r="G31">
        <v>2</v>
      </c>
      <c r="H31">
        <v>7</v>
      </c>
      <c r="I31">
        <v>1</v>
      </c>
      <c r="J31">
        <v>6</v>
      </c>
      <c r="K31" t="s">
        <v>25</v>
      </c>
      <c r="L31" t="s">
        <v>26</v>
      </c>
      <c r="M31" t="s">
        <v>53</v>
      </c>
      <c r="N31" t="s">
        <v>26</v>
      </c>
      <c r="O31" t="s">
        <v>47</v>
      </c>
      <c r="P31" t="s">
        <v>30</v>
      </c>
      <c r="Q31" t="s">
        <v>55</v>
      </c>
      <c r="R31" t="s">
        <v>32</v>
      </c>
      <c r="S31" t="s">
        <v>33</v>
      </c>
      <c r="T31" t="s">
        <v>27</v>
      </c>
      <c r="U31" t="s">
        <v>50</v>
      </c>
      <c r="V31" t="s">
        <v>35</v>
      </c>
      <c r="W31" t="s">
        <v>36</v>
      </c>
      <c r="X31" t="s">
        <v>37</v>
      </c>
      <c r="AL31" t="s">
        <v>57</v>
      </c>
      <c r="AM31" t="s">
        <v>44</v>
      </c>
      <c r="AN31">
        <v>1</v>
      </c>
      <c r="AO31">
        <v>1</v>
      </c>
      <c r="AP31">
        <v>1</v>
      </c>
      <c r="AQ31">
        <v>1</v>
      </c>
    </row>
    <row r="32" spans="1:43" x14ac:dyDescent="0.3">
      <c r="A32" t="s">
        <v>46</v>
      </c>
      <c r="B32">
        <v>27</v>
      </c>
      <c r="C32" t="s">
        <v>25</v>
      </c>
      <c r="D32">
        <v>4</v>
      </c>
      <c r="E32">
        <v>5</v>
      </c>
      <c r="F32">
        <v>1</v>
      </c>
      <c r="G32">
        <v>2</v>
      </c>
      <c r="H32">
        <v>7</v>
      </c>
      <c r="I32">
        <v>3</v>
      </c>
      <c r="J32">
        <v>6</v>
      </c>
      <c r="K32" t="s">
        <v>38</v>
      </c>
      <c r="L32" t="s">
        <v>26</v>
      </c>
      <c r="M32" t="s">
        <v>63</v>
      </c>
      <c r="N32" t="s">
        <v>28</v>
      </c>
      <c r="O32" t="s">
        <v>29</v>
      </c>
      <c r="P32" t="s">
        <v>30</v>
      </c>
      <c r="Q32" t="s">
        <v>55</v>
      </c>
      <c r="R32" t="s">
        <v>32</v>
      </c>
      <c r="S32" t="s">
        <v>66</v>
      </c>
      <c r="T32" t="s">
        <v>27</v>
      </c>
      <c r="U32" t="s">
        <v>50</v>
      </c>
      <c r="V32" t="s">
        <v>35</v>
      </c>
      <c r="W32" t="s">
        <v>36</v>
      </c>
      <c r="X32" t="s">
        <v>52</v>
      </c>
      <c r="AL32" t="s">
        <v>82</v>
      </c>
      <c r="AN32">
        <v>1</v>
      </c>
      <c r="AO32">
        <v>1</v>
      </c>
      <c r="AP32">
        <v>1</v>
      </c>
      <c r="AQ32">
        <v>1</v>
      </c>
    </row>
    <row r="33" spans="1:43" x14ac:dyDescent="0.3">
      <c r="A33" t="s">
        <v>24</v>
      </c>
      <c r="B33">
        <v>31</v>
      </c>
      <c r="C33" t="s">
        <v>25</v>
      </c>
      <c r="D33">
        <v>2</v>
      </c>
      <c r="E33">
        <v>4</v>
      </c>
      <c r="F33">
        <v>7</v>
      </c>
      <c r="G33">
        <v>6</v>
      </c>
      <c r="H33">
        <v>3</v>
      </c>
      <c r="I33">
        <v>1</v>
      </c>
      <c r="J33">
        <v>5</v>
      </c>
      <c r="K33" t="s">
        <v>25</v>
      </c>
      <c r="L33" t="s">
        <v>26</v>
      </c>
      <c r="M33" t="s">
        <v>27</v>
      </c>
      <c r="N33" t="s">
        <v>28</v>
      </c>
      <c r="O33" t="s">
        <v>47</v>
      </c>
      <c r="P33" t="s">
        <v>30</v>
      </c>
      <c r="Q33" t="s">
        <v>31</v>
      </c>
      <c r="R33" t="s">
        <v>65</v>
      </c>
      <c r="S33" t="s">
        <v>33</v>
      </c>
      <c r="T33" t="s">
        <v>27</v>
      </c>
      <c r="U33" t="s">
        <v>34</v>
      </c>
      <c r="V33" t="s">
        <v>51</v>
      </c>
      <c r="W33" t="s">
        <v>36</v>
      </c>
      <c r="X33" t="s">
        <v>45</v>
      </c>
      <c r="AK33" t="s">
        <v>79</v>
      </c>
      <c r="AN33">
        <v>3</v>
      </c>
      <c r="AO33">
        <v>3</v>
      </c>
      <c r="AP33">
        <v>3</v>
      </c>
      <c r="AQ33">
        <v>3</v>
      </c>
    </row>
    <row r="34" spans="1:43" x14ac:dyDescent="0.3">
      <c r="A34" t="s">
        <v>46</v>
      </c>
      <c r="B34">
        <v>27</v>
      </c>
      <c r="C34" t="s">
        <v>25</v>
      </c>
      <c r="D34">
        <v>2</v>
      </c>
      <c r="E34">
        <v>4</v>
      </c>
      <c r="F34">
        <v>7</v>
      </c>
      <c r="G34">
        <v>5</v>
      </c>
      <c r="H34">
        <v>1</v>
      </c>
      <c r="I34">
        <v>3</v>
      </c>
      <c r="J34">
        <v>6</v>
      </c>
      <c r="K34" t="s">
        <v>25</v>
      </c>
      <c r="L34" t="s">
        <v>26</v>
      </c>
      <c r="M34" t="s">
        <v>27</v>
      </c>
      <c r="N34" t="s">
        <v>28</v>
      </c>
      <c r="O34" t="s">
        <v>47</v>
      </c>
      <c r="P34" t="s">
        <v>30</v>
      </c>
      <c r="Q34" t="s">
        <v>61</v>
      </c>
      <c r="R34" t="s">
        <v>49</v>
      </c>
      <c r="S34" t="s">
        <v>42</v>
      </c>
      <c r="T34" t="s">
        <v>27</v>
      </c>
      <c r="U34" t="s">
        <v>56</v>
      </c>
      <c r="V34" t="s">
        <v>51</v>
      </c>
      <c r="W34" t="s">
        <v>36</v>
      </c>
      <c r="X34" t="s">
        <v>37</v>
      </c>
      <c r="AJ34" t="s">
        <v>83</v>
      </c>
      <c r="AN34">
        <v>8</v>
      </c>
      <c r="AO34">
        <v>8</v>
      </c>
      <c r="AP34">
        <v>8</v>
      </c>
      <c r="AQ34">
        <v>8</v>
      </c>
    </row>
    <row r="35" spans="1:43" x14ac:dyDescent="0.3">
      <c r="A35" t="s">
        <v>46</v>
      </c>
      <c r="B35">
        <v>26</v>
      </c>
      <c r="C35" t="s">
        <v>25</v>
      </c>
      <c r="D35">
        <v>2</v>
      </c>
      <c r="E35">
        <v>3</v>
      </c>
      <c r="F35">
        <v>6</v>
      </c>
      <c r="G35">
        <v>4</v>
      </c>
      <c r="H35">
        <v>1</v>
      </c>
      <c r="I35">
        <v>5</v>
      </c>
      <c r="J35">
        <v>7</v>
      </c>
      <c r="K35" t="s">
        <v>25</v>
      </c>
      <c r="L35" t="s">
        <v>26</v>
      </c>
      <c r="M35" t="s">
        <v>27</v>
      </c>
      <c r="N35" t="s">
        <v>26</v>
      </c>
      <c r="O35" t="s">
        <v>29</v>
      </c>
      <c r="P35" t="s">
        <v>30</v>
      </c>
      <c r="Q35" t="s">
        <v>31</v>
      </c>
      <c r="R35" t="s">
        <v>65</v>
      </c>
      <c r="S35" t="s">
        <v>66</v>
      </c>
      <c r="T35" t="s">
        <v>43</v>
      </c>
      <c r="U35" t="s">
        <v>34</v>
      </c>
      <c r="V35" t="s">
        <v>35</v>
      </c>
      <c r="W35" t="s">
        <v>59</v>
      </c>
      <c r="X35" t="s">
        <v>37</v>
      </c>
      <c r="AJ35" t="s">
        <v>62</v>
      </c>
      <c r="AK35" t="s">
        <v>34</v>
      </c>
      <c r="AL35" t="s">
        <v>51</v>
      </c>
      <c r="AM35" t="s">
        <v>59</v>
      </c>
      <c r="AN35">
        <v>1</v>
      </c>
      <c r="AO35">
        <v>1</v>
      </c>
      <c r="AP35">
        <v>1</v>
      </c>
      <c r="AQ35">
        <v>1</v>
      </c>
    </row>
    <row r="36" spans="1:43" x14ac:dyDescent="0.3">
      <c r="A36" t="s">
        <v>46</v>
      </c>
      <c r="B36">
        <v>27</v>
      </c>
      <c r="C36" t="s">
        <v>25</v>
      </c>
      <c r="D36">
        <v>2</v>
      </c>
      <c r="E36">
        <v>3</v>
      </c>
      <c r="F36">
        <v>6</v>
      </c>
      <c r="G36">
        <v>5</v>
      </c>
      <c r="H36">
        <v>4</v>
      </c>
      <c r="I36">
        <v>1</v>
      </c>
      <c r="J36">
        <v>7</v>
      </c>
      <c r="K36" t="s">
        <v>25</v>
      </c>
      <c r="L36" t="s">
        <v>26</v>
      </c>
      <c r="M36" t="s">
        <v>27</v>
      </c>
      <c r="N36" t="s">
        <v>28</v>
      </c>
      <c r="O36" t="s">
        <v>29</v>
      </c>
      <c r="P36" t="s">
        <v>41</v>
      </c>
      <c r="Q36" t="s">
        <v>31</v>
      </c>
      <c r="R36" t="s">
        <v>32</v>
      </c>
      <c r="S36" t="s">
        <v>42</v>
      </c>
      <c r="T36" t="s">
        <v>27</v>
      </c>
      <c r="U36" t="s">
        <v>34</v>
      </c>
      <c r="V36" t="s">
        <v>35</v>
      </c>
      <c r="W36" t="s">
        <v>36</v>
      </c>
      <c r="X36" t="s">
        <v>45</v>
      </c>
      <c r="AL36" t="s">
        <v>76</v>
      </c>
      <c r="AN36">
        <v>1</v>
      </c>
      <c r="AO36">
        <v>1</v>
      </c>
      <c r="AP36">
        <v>1</v>
      </c>
      <c r="AQ36">
        <v>1</v>
      </c>
    </row>
    <row r="37" spans="1:43" x14ac:dyDescent="0.3">
      <c r="A37" t="s">
        <v>46</v>
      </c>
      <c r="B37">
        <v>30</v>
      </c>
      <c r="C37" t="s">
        <v>25</v>
      </c>
      <c r="D37">
        <v>1</v>
      </c>
      <c r="E37">
        <v>4</v>
      </c>
      <c r="F37">
        <v>6</v>
      </c>
      <c r="G37">
        <v>5</v>
      </c>
      <c r="H37">
        <v>3</v>
      </c>
      <c r="I37">
        <v>2</v>
      </c>
      <c r="J37">
        <v>7</v>
      </c>
      <c r="K37" t="s">
        <v>25</v>
      </c>
      <c r="L37" t="s">
        <v>60</v>
      </c>
      <c r="M37" t="s">
        <v>63</v>
      </c>
      <c r="N37" t="s">
        <v>28</v>
      </c>
      <c r="O37" t="s">
        <v>47</v>
      </c>
      <c r="P37" t="s">
        <v>30</v>
      </c>
      <c r="Q37" t="s">
        <v>31</v>
      </c>
      <c r="R37" t="s">
        <v>65</v>
      </c>
      <c r="S37" t="s">
        <v>42</v>
      </c>
      <c r="T37" t="s">
        <v>27</v>
      </c>
      <c r="U37" t="s">
        <v>34</v>
      </c>
      <c r="V37" t="s">
        <v>51</v>
      </c>
      <c r="W37" t="s">
        <v>36</v>
      </c>
      <c r="X37" t="s">
        <v>45</v>
      </c>
      <c r="AK37" t="s">
        <v>78</v>
      </c>
      <c r="AN37">
        <v>1</v>
      </c>
      <c r="AO37">
        <v>1</v>
      </c>
      <c r="AP37">
        <v>1</v>
      </c>
      <c r="AQ37">
        <v>1</v>
      </c>
    </row>
    <row r="38" spans="1:43" x14ac:dyDescent="0.3">
      <c r="A38" t="s">
        <v>46</v>
      </c>
      <c r="B38">
        <v>30</v>
      </c>
      <c r="C38" t="s">
        <v>25</v>
      </c>
      <c r="D38">
        <v>2</v>
      </c>
      <c r="E38">
        <v>4</v>
      </c>
      <c r="F38">
        <v>7</v>
      </c>
      <c r="G38">
        <v>5</v>
      </c>
      <c r="H38">
        <v>1</v>
      </c>
      <c r="I38">
        <v>3</v>
      </c>
      <c r="J38">
        <v>6</v>
      </c>
      <c r="K38" t="s">
        <v>25</v>
      </c>
      <c r="L38" t="s">
        <v>26</v>
      </c>
      <c r="M38" t="s">
        <v>27</v>
      </c>
      <c r="N38" t="s">
        <v>28</v>
      </c>
      <c r="O38" t="s">
        <v>29</v>
      </c>
      <c r="P38" t="s">
        <v>30</v>
      </c>
      <c r="Q38" t="s">
        <v>31</v>
      </c>
      <c r="R38" t="s">
        <v>49</v>
      </c>
      <c r="S38" t="s">
        <v>33</v>
      </c>
      <c r="T38" t="s">
        <v>27</v>
      </c>
      <c r="U38" t="s">
        <v>34</v>
      </c>
      <c r="V38" t="s">
        <v>51</v>
      </c>
      <c r="W38" t="s">
        <v>59</v>
      </c>
      <c r="X38" t="s">
        <v>37</v>
      </c>
      <c r="AK38" t="s">
        <v>56</v>
      </c>
      <c r="AL38" t="s">
        <v>35</v>
      </c>
      <c r="AM38" t="s">
        <v>59</v>
      </c>
      <c r="AN38">
        <v>1</v>
      </c>
      <c r="AO38">
        <v>1</v>
      </c>
      <c r="AP38">
        <v>1</v>
      </c>
      <c r="AQ38">
        <v>1</v>
      </c>
    </row>
    <row r="39" spans="1:43" x14ac:dyDescent="0.3">
      <c r="A39" t="s">
        <v>46</v>
      </c>
      <c r="B39">
        <v>25</v>
      </c>
      <c r="C39" t="s">
        <v>25</v>
      </c>
      <c r="D39">
        <v>5</v>
      </c>
      <c r="E39">
        <v>4</v>
      </c>
      <c r="F39">
        <v>7</v>
      </c>
      <c r="G39">
        <v>6</v>
      </c>
      <c r="H39">
        <v>1</v>
      </c>
      <c r="I39">
        <v>2</v>
      </c>
      <c r="J39">
        <v>3</v>
      </c>
      <c r="K39" t="s">
        <v>25</v>
      </c>
      <c r="L39" t="s">
        <v>60</v>
      </c>
      <c r="M39" t="s">
        <v>63</v>
      </c>
      <c r="N39" t="s">
        <v>64</v>
      </c>
      <c r="O39" t="s">
        <v>47</v>
      </c>
      <c r="P39" t="s">
        <v>30</v>
      </c>
      <c r="Q39" t="s">
        <v>61</v>
      </c>
      <c r="R39" t="s">
        <v>67</v>
      </c>
      <c r="S39" t="s">
        <v>42</v>
      </c>
      <c r="T39" t="s">
        <v>27</v>
      </c>
      <c r="U39" t="s">
        <v>34</v>
      </c>
      <c r="V39" t="s">
        <v>35</v>
      </c>
      <c r="W39" t="s">
        <v>36</v>
      </c>
      <c r="X39" t="s">
        <v>45</v>
      </c>
      <c r="AL39" t="s">
        <v>77</v>
      </c>
      <c r="AN39">
        <v>1</v>
      </c>
      <c r="AO39">
        <v>1</v>
      </c>
      <c r="AP39">
        <v>1</v>
      </c>
      <c r="AQ39">
        <v>1</v>
      </c>
    </row>
    <row r="40" spans="1:43" x14ac:dyDescent="0.3">
      <c r="A40" t="s">
        <v>46</v>
      </c>
      <c r="B40">
        <v>31</v>
      </c>
      <c r="C40" t="s">
        <v>25</v>
      </c>
      <c r="D40">
        <v>2</v>
      </c>
      <c r="E40">
        <v>4</v>
      </c>
      <c r="F40">
        <v>7</v>
      </c>
      <c r="G40">
        <v>5</v>
      </c>
      <c r="H40">
        <v>3</v>
      </c>
      <c r="I40">
        <v>1</v>
      </c>
      <c r="J40">
        <v>6</v>
      </c>
      <c r="K40" t="s">
        <v>25</v>
      </c>
      <c r="L40" t="s">
        <v>60</v>
      </c>
      <c r="M40" t="s">
        <v>63</v>
      </c>
      <c r="N40" t="s">
        <v>28</v>
      </c>
      <c r="O40" t="s">
        <v>29</v>
      </c>
      <c r="P40" t="s">
        <v>41</v>
      </c>
      <c r="Q40" t="s">
        <v>31</v>
      </c>
      <c r="R40" t="s">
        <v>49</v>
      </c>
      <c r="S40" t="s">
        <v>42</v>
      </c>
      <c r="T40" t="s">
        <v>43</v>
      </c>
      <c r="U40" t="s">
        <v>56</v>
      </c>
      <c r="V40" t="s">
        <v>51</v>
      </c>
      <c r="W40" t="s">
        <v>36</v>
      </c>
      <c r="X40" t="s">
        <v>37</v>
      </c>
      <c r="AK40" t="s">
        <v>79</v>
      </c>
      <c r="AN40">
        <v>1</v>
      </c>
      <c r="AO40">
        <v>1</v>
      </c>
      <c r="AP40">
        <v>1</v>
      </c>
      <c r="AQ40">
        <v>1</v>
      </c>
    </row>
    <row r="41" spans="1:43" x14ac:dyDescent="0.3">
      <c r="A41" t="s">
        <v>46</v>
      </c>
      <c r="B41">
        <v>29</v>
      </c>
      <c r="C41" t="s">
        <v>25</v>
      </c>
      <c r="D41">
        <v>4</v>
      </c>
      <c r="E41">
        <v>3</v>
      </c>
      <c r="F41">
        <v>5</v>
      </c>
      <c r="G41">
        <v>7</v>
      </c>
      <c r="H41">
        <v>2</v>
      </c>
      <c r="I41">
        <v>1</v>
      </c>
      <c r="J41">
        <v>6</v>
      </c>
      <c r="K41" t="s">
        <v>25</v>
      </c>
      <c r="L41" t="s">
        <v>26</v>
      </c>
      <c r="M41" t="s">
        <v>27</v>
      </c>
      <c r="N41" t="s">
        <v>28</v>
      </c>
      <c r="O41" t="s">
        <v>47</v>
      </c>
      <c r="P41" t="s">
        <v>30</v>
      </c>
      <c r="Q41" t="s">
        <v>31</v>
      </c>
      <c r="R41" t="s">
        <v>65</v>
      </c>
      <c r="S41" t="s">
        <v>33</v>
      </c>
      <c r="T41" t="s">
        <v>43</v>
      </c>
      <c r="U41" t="s">
        <v>34</v>
      </c>
      <c r="V41" t="s">
        <v>35</v>
      </c>
      <c r="W41" t="s">
        <v>36</v>
      </c>
      <c r="X41" t="s">
        <v>45</v>
      </c>
      <c r="AJ41" t="s">
        <v>84</v>
      </c>
      <c r="AN41">
        <v>2</v>
      </c>
      <c r="AO41">
        <v>2</v>
      </c>
      <c r="AP41">
        <v>2</v>
      </c>
      <c r="AQ41">
        <v>2</v>
      </c>
    </row>
    <row r="42" spans="1:43" x14ac:dyDescent="0.3">
      <c r="AJ42" t="s">
        <v>70</v>
      </c>
      <c r="AN42">
        <v>40</v>
      </c>
      <c r="AO42">
        <v>40</v>
      </c>
      <c r="AP42">
        <v>40</v>
      </c>
      <c r="AQ42">
        <v>40</v>
      </c>
    </row>
  </sheetData>
  <pageMargins left="0.7" right="0.7" top="0.75" bottom="0.75" header="0.3" footer="0.3"/>
  <drawing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9DAA2-07E2-43F3-85CB-6F0598D6073E}">
  <dimension ref="A1:AH41"/>
  <sheetViews>
    <sheetView topLeftCell="S1" zoomScale="69" zoomScaleNormal="69" workbookViewId="0">
      <selection activeCell="Z2" sqref="Z2"/>
    </sheetView>
  </sheetViews>
  <sheetFormatPr defaultRowHeight="14.4" x14ac:dyDescent="0.3"/>
  <cols>
    <col min="3" max="3" width="20.44140625" bestFit="1" customWidth="1"/>
    <col min="4" max="4" width="14.6640625" bestFit="1" customWidth="1"/>
    <col min="5" max="5" width="15" bestFit="1" customWidth="1"/>
    <col min="6" max="6" width="12.77734375" bestFit="1" customWidth="1"/>
    <col min="7" max="7" width="19.5546875" bestFit="1" customWidth="1"/>
    <col min="8" max="8" width="16" bestFit="1" customWidth="1"/>
    <col min="11" max="11" width="15.33203125" bestFit="1" customWidth="1"/>
    <col min="12" max="12" width="12.6640625" bestFit="1" customWidth="1"/>
    <col min="13" max="13" width="17.44140625" bestFit="1" customWidth="1"/>
    <col min="14" max="14" width="15.21875" bestFit="1" customWidth="1"/>
    <col min="16" max="16" width="15.44140625" bestFit="1" customWidth="1"/>
    <col min="18" max="18" width="18.44140625" bestFit="1" customWidth="1"/>
    <col min="19" max="19" width="31.21875" bestFit="1" customWidth="1"/>
    <col min="20" max="20" width="17.44140625" bestFit="1" customWidth="1"/>
    <col min="21" max="21" width="16.88671875" bestFit="1" customWidth="1"/>
    <col min="22" max="22" width="15.109375" bestFit="1" customWidth="1"/>
    <col min="23" max="23" width="16.109375" bestFit="1" customWidth="1"/>
    <col min="24" max="24" width="23.5546875" bestFit="1" customWidth="1"/>
    <col min="26" max="26" width="13.88671875" bestFit="1" customWidth="1"/>
    <col min="27" max="27" width="35.21875" bestFit="1" customWidth="1"/>
    <col min="33" max="33" width="23.5546875" bestFit="1" customWidth="1"/>
    <col min="34" max="34" width="13.77734375" bestFit="1" customWidth="1"/>
  </cols>
  <sheetData>
    <row r="1" spans="1:3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Z1" s="2" t="s">
        <v>68</v>
      </c>
      <c r="AA1" t="s">
        <v>85</v>
      </c>
      <c r="AG1" s="2" t="s">
        <v>68</v>
      </c>
      <c r="AH1" t="s">
        <v>86</v>
      </c>
    </row>
    <row r="2" spans="1:34" x14ac:dyDescent="0.3">
      <c r="A2" t="s">
        <v>24</v>
      </c>
      <c r="B2">
        <v>34</v>
      </c>
      <c r="C2" t="s">
        <v>25</v>
      </c>
      <c r="D2">
        <v>1</v>
      </c>
      <c r="E2">
        <v>2</v>
      </c>
      <c r="F2">
        <v>5</v>
      </c>
      <c r="G2">
        <v>3</v>
      </c>
      <c r="H2">
        <v>7</v>
      </c>
      <c r="I2">
        <v>6</v>
      </c>
      <c r="J2">
        <v>4</v>
      </c>
      <c r="K2" t="s">
        <v>25</v>
      </c>
      <c r="L2" t="s">
        <v>26</v>
      </c>
      <c r="M2" t="s">
        <v>27</v>
      </c>
      <c r="N2" t="s">
        <v>28</v>
      </c>
      <c r="O2" t="s">
        <v>29</v>
      </c>
      <c r="P2" t="s">
        <v>30</v>
      </c>
      <c r="Q2" t="s">
        <v>31</v>
      </c>
      <c r="R2" t="s">
        <v>32</v>
      </c>
      <c r="S2" t="s">
        <v>33</v>
      </c>
      <c r="T2" t="s">
        <v>27</v>
      </c>
      <c r="U2" t="s">
        <v>34</v>
      </c>
      <c r="V2" t="s">
        <v>35</v>
      </c>
      <c r="W2" t="s">
        <v>36</v>
      </c>
      <c r="X2" t="s">
        <v>37</v>
      </c>
      <c r="Z2" s="1" t="s">
        <v>66</v>
      </c>
      <c r="AA2">
        <v>3</v>
      </c>
      <c r="AG2" s="1" t="s">
        <v>45</v>
      </c>
      <c r="AH2">
        <v>16</v>
      </c>
    </row>
    <row r="3" spans="1:34" x14ac:dyDescent="0.3">
      <c r="A3" t="s">
        <v>24</v>
      </c>
      <c r="B3">
        <v>23</v>
      </c>
      <c r="C3" t="s">
        <v>25</v>
      </c>
      <c r="D3">
        <v>4</v>
      </c>
      <c r="E3">
        <v>3</v>
      </c>
      <c r="F3">
        <v>2</v>
      </c>
      <c r="G3">
        <v>1</v>
      </c>
      <c r="H3">
        <v>5</v>
      </c>
      <c r="I3">
        <v>6</v>
      </c>
      <c r="J3">
        <v>7</v>
      </c>
      <c r="K3" t="s">
        <v>38</v>
      </c>
      <c r="L3" t="s">
        <v>39</v>
      </c>
      <c r="M3" t="s">
        <v>27</v>
      </c>
      <c r="N3" t="s">
        <v>28</v>
      </c>
      <c r="O3" t="s">
        <v>40</v>
      </c>
      <c r="P3" t="s">
        <v>41</v>
      </c>
      <c r="Q3" t="s">
        <v>31</v>
      </c>
      <c r="R3" t="s">
        <v>32</v>
      </c>
      <c r="S3" t="s">
        <v>42</v>
      </c>
      <c r="T3" t="s">
        <v>43</v>
      </c>
      <c r="U3" t="s">
        <v>34</v>
      </c>
      <c r="V3" t="s">
        <v>35</v>
      </c>
      <c r="W3" t="s">
        <v>44</v>
      </c>
      <c r="X3" t="s">
        <v>45</v>
      </c>
      <c r="Z3" s="1" t="s">
        <v>42</v>
      </c>
      <c r="AA3">
        <v>13</v>
      </c>
      <c r="AG3" s="1" t="s">
        <v>58</v>
      </c>
      <c r="AH3">
        <v>4</v>
      </c>
    </row>
    <row r="4" spans="1:34" x14ac:dyDescent="0.3">
      <c r="A4" t="s">
        <v>46</v>
      </c>
      <c r="B4">
        <v>30</v>
      </c>
      <c r="C4" t="s">
        <v>25</v>
      </c>
      <c r="D4">
        <v>3</v>
      </c>
      <c r="E4">
        <v>6</v>
      </c>
      <c r="F4">
        <v>4</v>
      </c>
      <c r="G4">
        <v>2</v>
      </c>
      <c r="H4">
        <v>5</v>
      </c>
      <c r="I4">
        <v>1</v>
      </c>
      <c r="J4">
        <v>7</v>
      </c>
      <c r="K4" t="s">
        <v>25</v>
      </c>
      <c r="L4" t="s">
        <v>26</v>
      </c>
      <c r="M4" t="s">
        <v>27</v>
      </c>
      <c r="N4" t="s">
        <v>28</v>
      </c>
      <c r="O4" t="s">
        <v>47</v>
      </c>
      <c r="P4" t="s">
        <v>48</v>
      </c>
      <c r="Q4" t="s">
        <v>31</v>
      </c>
      <c r="R4" t="s">
        <v>49</v>
      </c>
      <c r="S4" t="s">
        <v>33</v>
      </c>
      <c r="T4" t="s">
        <v>27</v>
      </c>
      <c r="U4" t="s">
        <v>50</v>
      </c>
      <c r="V4" t="s">
        <v>51</v>
      </c>
      <c r="W4" t="s">
        <v>36</v>
      </c>
      <c r="X4" t="s">
        <v>52</v>
      </c>
      <c r="Z4" s="1" t="s">
        <v>33</v>
      </c>
      <c r="AA4">
        <v>24</v>
      </c>
      <c r="AG4" s="1" t="s">
        <v>37</v>
      </c>
      <c r="AH4">
        <v>14</v>
      </c>
    </row>
    <row r="5" spans="1:34" x14ac:dyDescent="0.3">
      <c r="A5" t="s">
        <v>46</v>
      </c>
      <c r="B5">
        <v>22</v>
      </c>
      <c r="C5" t="s">
        <v>25</v>
      </c>
      <c r="D5">
        <v>2</v>
      </c>
      <c r="E5">
        <v>1</v>
      </c>
      <c r="F5">
        <v>3</v>
      </c>
      <c r="G5">
        <v>7</v>
      </c>
      <c r="H5">
        <v>6</v>
      </c>
      <c r="I5">
        <v>4</v>
      </c>
      <c r="J5">
        <v>5</v>
      </c>
      <c r="K5" t="s">
        <v>25</v>
      </c>
      <c r="L5" t="s">
        <v>26</v>
      </c>
      <c r="M5" t="s">
        <v>53</v>
      </c>
      <c r="N5" t="s">
        <v>28</v>
      </c>
      <c r="O5" t="s">
        <v>54</v>
      </c>
      <c r="P5" t="s">
        <v>48</v>
      </c>
      <c r="Q5" t="s">
        <v>55</v>
      </c>
      <c r="R5" t="s">
        <v>49</v>
      </c>
      <c r="S5" t="s">
        <v>33</v>
      </c>
      <c r="T5" t="s">
        <v>43</v>
      </c>
      <c r="U5" t="s">
        <v>56</v>
      </c>
      <c r="V5" t="s">
        <v>57</v>
      </c>
      <c r="W5" t="s">
        <v>44</v>
      </c>
      <c r="X5" t="s">
        <v>58</v>
      </c>
      <c r="Z5" s="1" t="s">
        <v>70</v>
      </c>
      <c r="AA5">
        <v>40</v>
      </c>
      <c r="AG5" s="1" t="s">
        <v>52</v>
      </c>
      <c r="AH5">
        <v>6</v>
      </c>
    </row>
    <row r="6" spans="1:34" x14ac:dyDescent="0.3">
      <c r="A6" t="s">
        <v>24</v>
      </c>
      <c r="B6">
        <v>24</v>
      </c>
      <c r="C6" t="s">
        <v>38</v>
      </c>
      <c r="D6">
        <v>2</v>
      </c>
      <c r="E6">
        <v>1</v>
      </c>
      <c r="F6">
        <v>3</v>
      </c>
      <c r="G6">
        <v>6</v>
      </c>
      <c r="H6">
        <v>4</v>
      </c>
      <c r="I6">
        <v>5</v>
      </c>
      <c r="J6">
        <v>7</v>
      </c>
      <c r="K6" t="s">
        <v>38</v>
      </c>
      <c r="L6" t="s">
        <v>26</v>
      </c>
      <c r="M6" t="s">
        <v>53</v>
      </c>
      <c r="N6" t="s">
        <v>28</v>
      </c>
      <c r="O6" t="s">
        <v>54</v>
      </c>
      <c r="P6" t="s">
        <v>48</v>
      </c>
      <c r="Q6" t="s">
        <v>31</v>
      </c>
      <c r="R6" t="s">
        <v>49</v>
      </c>
      <c r="S6" t="s">
        <v>33</v>
      </c>
      <c r="T6" t="s">
        <v>27</v>
      </c>
      <c r="U6" t="s">
        <v>34</v>
      </c>
      <c r="V6" t="s">
        <v>35</v>
      </c>
      <c r="W6" t="s">
        <v>59</v>
      </c>
      <c r="X6" t="s">
        <v>58</v>
      </c>
      <c r="AG6" s="1" t="s">
        <v>70</v>
      </c>
      <c r="AH6">
        <v>40</v>
      </c>
    </row>
    <row r="7" spans="1:34" x14ac:dyDescent="0.3">
      <c r="A7" t="s">
        <v>24</v>
      </c>
      <c r="B7">
        <v>24</v>
      </c>
      <c r="C7" t="s">
        <v>38</v>
      </c>
      <c r="D7">
        <v>7</v>
      </c>
      <c r="E7">
        <v>5</v>
      </c>
      <c r="F7">
        <v>4</v>
      </c>
      <c r="G7">
        <v>6</v>
      </c>
      <c r="H7">
        <v>3</v>
      </c>
      <c r="I7">
        <v>1</v>
      </c>
      <c r="J7">
        <v>2</v>
      </c>
      <c r="K7" t="s">
        <v>38</v>
      </c>
      <c r="L7" t="s">
        <v>60</v>
      </c>
      <c r="M7" t="s">
        <v>27</v>
      </c>
      <c r="N7" t="s">
        <v>28</v>
      </c>
      <c r="O7" t="s">
        <v>29</v>
      </c>
      <c r="P7" t="s">
        <v>48</v>
      </c>
      <c r="Q7" t="s">
        <v>61</v>
      </c>
      <c r="R7" t="s">
        <v>32</v>
      </c>
      <c r="S7" t="s">
        <v>33</v>
      </c>
      <c r="T7" t="s">
        <v>62</v>
      </c>
      <c r="U7" t="s">
        <v>56</v>
      </c>
      <c r="V7" t="s">
        <v>35</v>
      </c>
      <c r="W7" t="s">
        <v>59</v>
      </c>
      <c r="X7" t="s">
        <v>58</v>
      </c>
    </row>
    <row r="8" spans="1:34" x14ac:dyDescent="0.3">
      <c r="A8" t="s">
        <v>24</v>
      </c>
      <c r="B8">
        <v>27</v>
      </c>
      <c r="C8" t="s">
        <v>25</v>
      </c>
      <c r="D8">
        <v>3</v>
      </c>
      <c r="E8">
        <v>6</v>
      </c>
      <c r="F8">
        <v>4</v>
      </c>
      <c r="G8">
        <v>2</v>
      </c>
      <c r="H8">
        <v>5</v>
      </c>
      <c r="I8">
        <v>1</v>
      </c>
      <c r="J8">
        <v>7</v>
      </c>
      <c r="K8" t="s">
        <v>25</v>
      </c>
      <c r="L8" t="s">
        <v>26</v>
      </c>
      <c r="M8" t="s">
        <v>27</v>
      </c>
      <c r="N8" t="s">
        <v>28</v>
      </c>
      <c r="O8" t="s">
        <v>47</v>
      </c>
      <c r="P8" t="s">
        <v>30</v>
      </c>
      <c r="Q8" t="s">
        <v>31</v>
      </c>
      <c r="R8" t="s">
        <v>49</v>
      </c>
      <c r="S8" t="s">
        <v>33</v>
      </c>
      <c r="T8" t="s">
        <v>27</v>
      </c>
      <c r="U8" t="s">
        <v>34</v>
      </c>
      <c r="V8" t="s">
        <v>51</v>
      </c>
      <c r="W8" t="s">
        <v>44</v>
      </c>
      <c r="X8" t="s">
        <v>45</v>
      </c>
    </row>
    <row r="9" spans="1:34" x14ac:dyDescent="0.3">
      <c r="A9" t="s">
        <v>46</v>
      </c>
      <c r="B9">
        <v>21</v>
      </c>
      <c r="C9" t="s">
        <v>25</v>
      </c>
      <c r="D9">
        <v>2</v>
      </c>
      <c r="E9">
        <v>3</v>
      </c>
      <c r="F9">
        <v>7</v>
      </c>
      <c r="G9">
        <v>4</v>
      </c>
      <c r="H9">
        <v>6</v>
      </c>
      <c r="I9">
        <v>1</v>
      </c>
      <c r="J9">
        <v>5</v>
      </c>
      <c r="K9" t="s">
        <v>25</v>
      </c>
      <c r="L9" t="s">
        <v>60</v>
      </c>
      <c r="M9" t="s">
        <v>27</v>
      </c>
      <c r="N9" t="s">
        <v>28</v>
      </c>
      <c r="O9" t="s">
        <v>47</v>
      </c>
      <c r="P9" t="s">
        <v>30</v>
      </c>
      <c r="Q9" t="s">
        <v>31</v>
      </c>
      <c r="R9" t="s">
        <v>32</v>
      </c>
      <c r="S9" t="s">
        <v>33</v>
      </c>
      <c r="T9" t="s">
        <v>27</v>
      </c>
      <c r="U9" t="s">
        <v>34</v>
      </c>
      <c r="V9" t="s">
        <v>51</v>
      </c>
      <c r="W9" t="s">
        <v>59</v>
      </c>
      <c r="X9" t="s">
        <v>37</v>
      </c>
    </row>
    <row r="10" spans="1:34" x14ac:dyDescent="0.3">
      <c r="A10" t="s">
        <v>46</v>
      </c>
      <c r="B10">
        <v>35</v>
      </c>
      <c r="C10" t="s">
        <v>25</v>
      </c>
      <c r="D10">
        <v>2</v>
      </c>
      <c r="E10">
        <v>4</v>
      </c>
      <c r="F10">
        <v>7</v>
      </c>
      <c r="G10">
        <v>5</v>
      </c>
      <c r="H10">
        <v>3</v>
      </c>
      <c r="I10">
        <v>1</v>
      </c>
      <c r="J10">
        <v>6</v>
      </c>
      <c r="K10" t="s">
        <v>25</v>
      </c>
      <c r="L10" t="s">
        <v>26</v>
      </c>
      <c r="M10" t="s">
        <v>63</v>
      </c>
      <c r="N10" t="s">
        <v>64</v>
      </c>
      <c r="O10" t="s">
        <v>29</v>
      </c>
      <c r="P10" t="s">
        <v>41</v>
      </c>
      <c r="Q10" t="s">
        <v>31</v>
      </c>
      <c r="R10" t="s">
        <v>49</v>
      </c>
      <c r="S10" t="s">
        <v>33</v>
      </c>
      <c r="T10" t="s">
        <v>27</v>
      </c>
      <c r="U10" t="s">
        <v>56</v>
      </c>
      <c r="V10" t="s">
        <v>35</v>
      </c>
      <c r="W10" t="s">
        <v>36</v>
      </c>
      <c r="X10" t="s">
        <v>52</v>
      </c>
    </row>
    <row r="11" spans="1:34" x14ac:dyDescent="0.3">
      <c r="A11" t="s">
        <v>46</v>
      </c>
      <c r="B11">
        <v>31</v>
      </c>
      <c r="C11" t="s">
        <v>25</v>
      </c>
      <c r="D11">
        <v>1</v>
      </c>
      <c r="E11">
        <v>3</v>
      </c>
      <c r="F11">
        <v>7</v>
      </c>
      <c r="G11">
        <v>4</v>
      </c>
      <c r="H11">
        <v>5</v>
      </c>
      <c r="I11">
        <v>2</v>
      </c>
      <c r="J11">
        <v>6</v>
      </c>
      <c r="K11" t="s">
        <v>25</v>
      </c>
      <c r="L11" t="s">
        <v>26</v>
      </c>
      <c r="M11" t="s">
        <v>27</v>
      </c>
      <c r="N11" t="s">
        <v>28</v>
      </c>
      <c r="O11" t="s">
        <v>47</v>
      </c>
      <c r="P11" t="s">
        <v>30</v>
      </c>
      <c r="Q11" t="s">
        <v>61</v>
      </c>
      <c r="R11" t="s">
        <v>65</v>
      </c>
      <c r="S11" t="s">
        <v>33</v>
      </c>
      <c r="T11" t="s">
        <v>27</v>
      </c>
      <c r="U11" t="s">
        <v>56</v>
      </c>
      <c r="V11" t="s">
        <v>51</v>
      </c>
      <c r="W11" t="s">
        <v>36</v>
      </c>
      <c r="X11" t="s">
        <v>37</v>
      </c>
    </row>
    <row r="12" spans="1:34" x14ac:dyDescent="0.3">
      <c r="A12" t="s">
        <v>24</v>
      </c>
      <c r="B12">
        <v>35</v>
      </c>
      <c r="C12" t="s">
        <v>25</v>
      </c>
      <c r="D12">
        <v>2</v>
      </c>
      <c r="E12">
        <v>4</v>
      </c>
      <c r="F12">
        <v>7</v>
      </c>
      <c r="G12">
        <v>5</v>
      </c>
      <c r="H12">
        <v>3</v>
      </c>
      <c r="I12">
        <v>1</v>
      </c>
      <c r="J12">
        <v>6</v>
      </c>
      <c r="K12" t="s">
        <v>25</v>
      </c>
      <c r="L12" t="s">
        <v>60</v>
      </c>
      <c r="M12" t="s">
        <v>63</v>
      </c>
      <c r="N12" t="s">
        <v>64</v>
      </c>
      <c r="O12" t="s">
        <v>47</v>
      </c>
      <c r="P12" t="s">
        <v>30</v>
      </c>
      <c r="Q12" t="s">
        <v>31</v>
      </c>
      <c r="R12" t="s">
        <v>32</v>
      </c>
      <c r="S12" t="s">
        <v>33</v>
      </c>
      <c r="T12" t="s">
        <v>27</v>
      </c>
      <c r="U12" t="s">
        <v>34</v>
      </c>
      <c r="V12" t="s">
        <v>51</v>
      </c>
      <c r="W12" t="s">
        <v>59</v>
      </c>
      <c r="X12" t="s">
        <v>45</v>
      </c>
    </row>
    <row r="13" spans="1:34" x14ac:dyDescent="0.3">
      <c r="A13" t="s">
        <v>46</v>
      </c>
      <c r="B13">
        <v>29</v>
      </c>
      <c r="C13" t="s">
        <v>25</v>
      </c>
      <c r="D13">
        <v>2</v>
      </c>
      <c r="E13">
        <v>5</v>
      </c>
      <c r="F13">
        <v>7</v>
      </c>
      <c r="G13">
        <v>6</v>
      </c>
      <c r="H13">
        <v>3</v>
      </c>
      <c r="I13">
        <v>1</v>
      </c>
      <c r="J13">
        <v>4</v>
      </c>
      <c r="K13" t="s">
        <v>25</v>
      </c>
      <c r="L13" t="s">
        <v>60</v>
      </c>
      <c r="M13" t="s">
        <v>27</v>
      </c>
      <c r="N13" t="s">
        <v>28</v>
      </c>
      <c r="O13" t="s">
        <v>29</v>
      </c>
      <c r="P13" t="s">
        <v>30</v>
      </c>
      <c r="Q13" t="s">
        <v>31</v>
      </c>
      <c r="R13" t="s">
        <v>32</v>
      </c>
      <c r="S13" t="s">
        <v>33</v>
      </c>
      <c r="T13" t="s">
        <v>27</v>
      </c>
      <c r="U13" t="s">
        <v>56</v>
      </c>
      <c r="V13" t="s">
        <v>51</v>
      </c>
      <c r="W13" t="s">
        <v>36</v>
      </c>
      <c r="X13" t="s">
        <v>45</v>
      </c>
    </row>
    <row r="14" spans="1:34" x14ac:dyDescent="0.3">
      <c r="A14" t="s">
        <v>24</v>
      </c>
      <c r="B14">
        <v>21</v>
      </c>
      <c r="C14" t="s">
        <v>38</v>
      </c>
      <c r="D14">
        <v>1</v>
      </c>
      <c r="E14">
        <v>2</v>
      </c>
      <c r="F14">
        <v>3</v>
      </c>
      <c r="G14">
        <v>4</v>
      </c>
      <c r="H14">
        <v>5</v>
      </c>
      <c r="I14">
        <v>6</v>
      </c>
      <c r="J14">
        <v>7</v>
      </c>
      <c r="K14" t="s">
        <v>38</v>
      </c>
      <c r="L14" t="s">
        <v>26</v>
      </c>
      <c r="M14" t="s">
        <v>27</v>
      </c>
      <c r="N14" t="s">
        <v>64</v>
      </c>
      <c r="O14" t="s">
        <v>29</v>
      </c>
      <c r="P14" t="s">
        <v>41</v>
      </c>
      <c r="Q14" t="s">
        <v>31</v>
      </c>
      <c r="R14" t="s">
        <v>32</v>
      </c>
      <c r="S14" t="s">
        <v>66</v>
      </c>
      <c r="T14" t="s">
        <v>43</v>
      </c>
      <c r="U14" t="s">
        <v>34</v>
      </c>
      <c r="V14" t="s">
        <v>35</v>
      </c>
      <c r="W14" t="s">
        <v>59</v>
      </c>
      <c r="X14" t="s">
        <v>58</v>
      </c>
    </row>
    <row r="15" spans="1:34" x14ac:dyDescent="0.3">
      <c r="A15" t="s">
        <v>24</v>
      </c>
      <c r="B15">
        <v>28</v>
      </c>
      <c r="C15" t="s">
        <v>25</v>
      </c>
      <c r="D15">
        <v>2</v>
      </c>
      <c r="E15">
        <v>3</v>
      </c>
      <c r="F15">
        <v>7</v>
      </c>
      <c r="G15">
        <v>4</v>
      </c>
      <c r="H15">
        <v>5</v>
      </c>
      <c r="I15">
        <v>1</v>
      </c>
      <c r="J15">
        <v>6</v>
      </c>
      <c r="K15" t="s">
        <v>25</v>
      </c>
      <c r="L15" t="s">
        <v>26</v>
      </c>
      <c r="M15" t="s">
        <v>27</v>
      </c>
      <c r="N15" t="s">
        <v>28</v>
      </c>
      <c r="O15" t="s">
        <v>29</v>
      </c>
      <c r="P15" t="s">
        <v>30</v>
      </c>
      <c r="Q15" t="s">
        <v>31</v>
      </c>
      <c r="R15" t="s">
        <v>32</v>
      </c>
      <c r="S15" t="s">
        <v>33</v>
      </c>
      <c r="T15" t="s">
        <v>27</v>
      </c>
      <c r="U15" t="s">
        <v>56</v>
      </c>
      <c r="V15" t="s">
        <v>51</v>
      </c>
      <c r="W15" t="s">
        <v>59</v>
      </c>
      <c r="X15" t="s">
        <v>37</v>
      </c>
    </row>
    <row r="16" spans="1:34" x14ac:dyDescent="0.3">
      <c r="A16" t="s">
        <v>24</v>
      </c>
      <c r="B16">
        <v>25</v>
      </c>
      <c r="C16" t="s">
        <v>25</v>
      </c>
      <c r="D16">
        <v>2</v>
      </c>
      <c r="E16">
        <v>3</v>
      </c>
      <c r="F16">
        <v>7</v>
      </c>
      <c r="G16">
        <v>5</v>
      </c>
      <c r="H16">
        <v>4</v>
      </c>
      <c r="I16">
        <v>1</v>
      </c>
      <c r="J16">
        <v>6</v>
      </c>
      <c r="K16" t="s">
        <v>25</v>
      </c>
      <c r="L16" t="s">
        <v>26</v>
      </c>
      <c r="M16" t="s">
        <v>27</v>
      </c>
      <c r="N16" t="s">
        <v>28</v>
      </c>
      <c r="O16" t="s">
        <v>29</v>
      </c>
      <c r="P16" t="s">
        <v>30</v>
      </c>
      <c r="Q16" t="s">
        <v>31</v>
      </c>
      <c r="R16" t="s">
        <v>65</v>
      </c>
      <c r="S16" t="s">
        <v>42</v>
      </c>
      <c r="T16" t="s">
        <v>43</v>
      </c>
      <c r="U16" t="s">
        <v>34</v>
      </c>
      <c r="V16" t="s">
        <v>51</v>
      </c>
      <c r="W16" t="s">
        <v>59</v>
      </c>
      <c r="X16" t="s">
        <v>45</v>
      </c>
    </row>
    <row r="17" spans="1:24" x14ac:dyDescent="0.3">
      <c r="A17" t="s">
        <v>46</v>
      </c>
      <c r="B17">
        <v>27</v>
      </c>
      <c r="C17" t="s">
        <v>25</v>
      </c>
      <c r="D17">
        <v>2</v>
      </c>
      <c r="E17">
        <v>3</v>
      </c>
      <c r="F17">
        <v>7</v>
      </c>
      <c r="G17">
        <v>5</v>
      </c>
      <c r="H17">
        <v>4</v>
      </c>
      <c r="I17">
        <v>1</v>
      </c>
      <c r="J17">
        <v>6</v>
      </c>
      <c r="K17" t="s">
        <v>25</v>
      </c>
      <c r="L17" t="s">
        <v>26</v>
      </c>
      <c r="M17" t="s">
        <v>27</v>
      </c>
      <c r="N17" t="s">
        <v>28</v>
      </c>
      <c r="O17" t="s">
        <v>29</v>
      </c>
      <c r="P17" t="s">
        <v>30</v>
      </c>
      <c r="Q17" t="s">
        <v>31</v>
      </c>
      <c r="R17" t="s">
        <v>32</v>
      </c>
      <c r="S17" t="s">
        <v>42</v>
      </c>
      <c r="T17" t="s">
        <v>27</v>
      </c>
      <c r="U17" t="s">
        <v>56</v>
      </c>
      <c r="V17" t="s">
        <v>51</v>
      </c>
      <c r="W17" t="s">
        <v>59</v>
      </c>
      <c r="X17" t="s">
        <v>37</v>
      </c>
    </row>
    <row r="18" spans="1:24" x14ac:dyDescent="0.3">
      <c r="A18" t="s">
        <v>24</v>
      </c>
      <c r="B18">
        <v>28</v>
      </c>
      <c r="C18" t="s">
        <v>25</v>
      </c>
      <c r="D18">
        <v>3</v>
      </c>
      <c r="E18">
        <v>2</v>
      </c>
      <c r="F18">
        <v>7</v>
      </c>
      <c r="G18">
        <v>5</v>
      </c>
      <c r="H18">
        <v>4</v>
      </c>
      <c r="I18">
        <v>1</v>
      </c>
      <c r="J18">
        <v>6</v>
      </c>
      <c r="K18" t="s">
        <v>25</v>
      </c>
      <c r="L18" t="s">
        <v>60</v>
      </c>
      <c r="M18" t="s">
        <v>63</v>
      </c>
      <c r="N18" t="s">
        <v>28</v>
      </c>
      <c r="O18" t="s">
        <v>29</v>
      </c>
      <c r="P18" t="s">
        <v>30</v>
      </c>
      <c r="Q18" t="s">
        <v>31</v>
      </c>
      <c r="R18" t="s">
        <v>65</v>
      </c>
      <c r="S18" t="s">
        <v>42</v>
      </c>
      <c r="T18" t="s">
        <v>27</v>
      </c>
      <c r="U18" t="s">
        <v>56</v>
      </c>
      <c r="V18" t="s">
        <v>51</v>
      </c>
      <c r="W18" t="s">
        <v>59</v>
      </c>
      <c r="X18" t="s">
        <v>52</v>
      </c>
    </row>
    <row r="19" spans="1:24" x14ac:dyDescent="0.3">
      <c r="A19" t="s">
        <v>46</v>
      </c>
      <c r="B19">
        <v>27</v>
      </c>
      <c r="C19" t="s">
        <v>25</v>
      </c>
      <c r="D19">
        <v>3</v>
      </c>
      <c r="E19">
        <v>2</v>
      </c>
      <c r="F19">
        <v>7</v>
      </c>
      <c r="G19">
        <v>4</v>
      </c>
      <c r="H19">
        <v>5</v>
      </c>
      <c r="I19">
        <v>1</v>
      </c>
      <c r="J19">
        <v>6</v>
      </c>
      <c r="K19" t="s">
        <v>25</v>
      </c>
      <c r="L19" t="s">
        <v>26</v>
      </c>
      <c r="M19" t="s">
        <v>27</v>
      </c>
      <c r="N19" t="s">
        <v>28</v>
      </c>
      <c r="O19" t="s">
        <v>29</v>
      </c>
      <c r="P19" t="s">
        <v>30</v>
      </c>
      <c r="Q19" t="s">
        <v>31</v>
      </c>
      <c r="R19" t="s">
        <v>32</v>
      </c>
      <c r="S19" t="s">
        <v>33</v>
      </c>
      <c r="T19" t="s">
        <v>27</v>
      </c>
      <c r="U19" t="s">
        <v>34</v>
      </c>
      <c r="V19" t="s">
        <v>51</v>
      </c>
      <c r="W19" t="s">
        <v>59</v>
      </c>
      <c r="X19" t="s">
        <v>45</v>
      </c>
    </row>
    <row r="20" spans="1:24" x14ac:dyDescent="0.3">
      <c r="A20" t="s">
        <v>46</v>
      </c>
      <c r="B20">
        <v>29</v>
      </c>
      <c r="C20" t="s">
        <v>25</v>
      </c>
      <c r="D20">
        <v>3</v>
      </c>
      <c r="E20">
        <v>2</v>
      </c>
      <c r="F20">
        <v>7</v>
      </c>
      <c r="G20">
        <v>4</v>
      </c>
      <c r="H20">
        <v>5</v>
      </c>
      <c r="I20">
        <v>1</v>
      </c>
      <c r="J20">
        <v>6</v>
      </c>
      <c r="K20" t="s">
        <v>25</v>
      </c>
      <c r="L20" t="s">
        <v>60</v>
      </c>
      <c r="M20" t="s">
        <v>27</v>
      </c>
      <c r="N20" t="s">
        <v>28</v>
      </c>
      <c r="O20" t="s">
        <v>29</v>
      </c>
      <c r="P20" t="s">
        <v>30</v>
      </c>
      <c r="Q20" t="s">
        <v>31</v>
      </c>
      <c r="R20" t="s">
        <v>32</v>
      </c>
      <c r="S20" t="s">
        <v>33</v>
      </c>
      <c r="T20" t="s">
        <v>27</v>
      </c>
      <c r="U20" t="s">
        <v>34</v>
      </c>
      <c r="V20" t="s">
        <v>51</v>
      </c>
      <c r="W20" t="s">
        <v>59</v>
      </c>
      <c r="X20" t="s">
        <v>37</v>
      </c>
    </row>
    <row r="21" spans="1:24" x14ac:dyDescent="0.3">
      <c r="A21" t="s">
        <v>46</v>
      </c>
      <c r="B21">
        <v>26</v>
      </c>
      <c r="C21" t="s">
        <v>25</v>
      </c>
      <c r="D21">
        <v>3</v>
      </c>
      <c r="E21">
        <v>4</v>
      </c>
      <c r="F21">
        <v>6</v>
      </c>
      <c r="G21">
        <v>5</v>
      </c>
      <c r="H21">
        <v>1</v>
      </c>
      <c r="I21">
        <v>2</v>
      </c>
      <c r="J21">
        <v>7</v>
      </c>
      <c r="K21" t="s">
        <v>25</v>
      </c>
      <c r="L21" t="s">
        <v>60</v>
      </c>
      <c r="M21" t="s">
        <v>27</v>
      </c>
      <c r="N21" t="s">
        <v>28</v>
      </c>
      <c r="O21" t="s">
        <v>47</v>
      </c>
      <c r="P21" t="s">
        <v>30</v>
      </c>
      <c r="Q21" t="s">
        <v>31</v>
      </c>
      <c r="R21" t="s">
        <v>65</v>
      </c>
      <c r="S21" t="s">
        <v>42</v>
      </c>
      <c r="T21" t="s">
        <v>27</v>
      </c>
      <c r="U21" t="s">
        <v>56</v>
      </c>
      <c r="V21" t="s">
        <v>51</v>
      </c>
      <c r="W21" t="s">
        <v>59</v>
      </c>
      <c r="X21" t="s">
        <v>37</v>
      </c>
    </row>
    <row r="22" spans="1:24" x14ac:dyDescent="0.3">
      <c r="A22" t="s">
        <v>46</v>
      </c>
      <c r="B22">
        <v>29</v>
      </c>
      <c r="C22" t="s">
        <v>25</v>
      </c>
      <c r="D22">
        <v>2</v>
      </c>
      <c r="E22">
        <v>4</v>
      </c>
      <c r="F22">
        <v>7</v>
      </c>
      <c r="G22">
        <v>5</v>
      </c>
      <c r="H22">
        <v>3</v>
      </c>
      <c r="I22">
        <v>1</v>
      </c>
      <c r="J22">
        <v>6</v>
      </c>
      <c r="K22" t="s">
        <v>25</v>
      </c>
      <c r="L22" t="s">
        <v>26</v>
      </c>
      <c r="M22" t="s">
        <v>63</v>
      </c>
      <c r="N22" t="s">
        <v>28</v>
      </c>
      <c r="O22" t="s">
        <v>47</v>
      </c>
      <c r="P22" t="s">
        <v>41</v>
      </c>
      <c r="Q22" t="s">
        <v>31</v>
      </c>
      <c r="R22" t="s">
        <v>32</v>
      </c>
      <c r="S22" t="s">
        <v>33</v>
      </c>
      <c r="T22" t="s">
        <v>27</v>
      </c>
      <c r="U22" t="s">
        <v>34</v>
      </c>
      <c r="V22" t="s">
        <v>51</v>
      </c>
      <c r="W22" t="s">
        <v>36</v>
      </c>
      <c r="X22" t="s">
        <v>45</v>
      </c>
    </row>
    <row r="23" spans="1:24" x14ac:dyDescent="0.3">
      <c r="A23" t="s">
        <v>24</v>
      </c>
      <c r="B23">
        <v>24</v>
      </c>
      <c r="C23" t="s">
        <v>25</v>
      </c>
      <c r="D23">
        <v>2</v>
      </c>
      <c r="E23">
        <v>4</v>
      </c>
      <c r="F23">
        <v>5</v>
      </c>
      <c r="G23">
        <v>6</v>
      </c>
      <c r="H23">
        <v>3</v>
      </c>
      <c r="I23">
        <v>1</v>
      </c>
      <c r="J23">
        <v>7</v>
      </c>
      <c r="K23" t="s">
        <v>25</v>
      </c>
      <c r="L23" t="s">
        <v>60</v>
      </c>
      <c r="M23" t="s">
        <v>27</v>
      </c>
      <c r="N23" t="s">
        <v>28</v>
      </c>
      <c r="O23" t="s">
        <v>47</v>
      </c>
      <c r="P23" t="s">
        <v>30</v>
      </c>
      <c r="Q23" t="s">
        <v>31</v>
      </c>
      <c r="R23" t="s">
        <v>49</v>
      </c>
      <c r="S23" t="s">
        <v>42</v>
      </c>
      <c r="T23" t="s">
        <v>27</v>
      </c>
      <c r="U23" t="s">
        <v>34</v>
      </c>
      <c r="V23" t="s">
        <v>51</v>
      </c>
      <c r="W23" t="s">
        <v>59</v>
      </c>
      <c r="X23" t="s">
        <v>37</v>
      </c>
    </row>
    <row r="24" spans="1:24" x14ac:dyDescent="0.3">
      <c r="A24" t="s">
        <v>46</v>
      </c>
      <c r="B24">
        <v>27</v>
      </c>
      <c r="C24" t="s">
        <v>25</v>
      </c>
      <c r="D24">
        <v>3</v>
      </c>
      <c r="E24">
        <v>4</v>
      </c>
      <c r="F24">
        <v>6</v>
      </c>
      <c r="G24">
        <v>5</v>
      </c>
      <c r="H24">
        <v>2</v>
      </c>
      <c r="I24">
        <v>1</v>
      </c>
      <c r="J24">
        <v>7</v>
      </c>
      <c r="K24" t="s">
        <v>25</v>
      </c>
      <c r="L24" t="s">
        <v>26</v>
      </c>
      <c r="M24" t="s">
        <v>27</v>
      </c>
      <c r="N24" t="s">
        <v>28</v>
      </c>
      <c r="O24" t="s">
        <v>47</v>
      </c>
      <c r="P24" t="s">
        <v>30</v>
      </c>
      <c r="Q24" t="s">
        <v>31</v>
      </c>
      <c r="R24" t="s">
        <v>32</v>
      </c>
      <c r="S24" t="s">
        <v>33</v>
      </c>
      <c r="T24" t="s">
        <v>27</v>
      </c>
      <c r="U24" t="s">
        <v>34</v>
      </c>
      <c r="V24" t="s">
        <v>51</v>
      </c>
      <c r="W24" t="s">
        <v>59</v>
      </c>
      <c r="X24" t="s">
        <v>45</v>
      </c>
    </row>
    <row r="25" spans="1:24" x14ac:dyDescent="0.3">
      <c r="A25" t="s">
        <v>46</v>
      </c>
      <c r="B25">
        <v>25</v>
      </c>
      <c r="C25" t="s">
        <v>25</v>
      </c>
      <c r="D25">
        <v>2</v>
      </c>
      <c r="E25">
        <v>4</v>
      </c>
      <c r="F25">
        <v>6</v>
      </c>
      <c r="G25">
        <v>5</v>
      </c>
      <c r="H25">
        <v>3</v>
      </c>
      <c r="I25">
        <v>1</v>
      </c>
      <c r="J25">
        <v>7</v>
      </c>
      <c r="K25" t="s">
        <v>25</v>
      </c>
      <c r="L25" t="s">
        <v>60</v>
      </c>
      <c r="M25" t="s">
        <v>63</v>
      </c>
      <c r="N25" t="s">
        <v>64</v>
      </c>
      <c r="O25" t="s">
        <v>47</v>
      </c>
      <c r="P25" t="s">
        <v>41</v>
      </c>
      <c r="Q25" t="s">
        <v>31</v>
      </c>
      <c r="R25" t="s">
        <v>67</v>
      </c>
      <c r="S25" t="s">
        <v>42</v>
      </c>
      <c r="T25" t="s">
        <v>62</v>
      </c>
      <c r="U25" t="s">
        <v>34</v>
      </c>
      <c r="V25" t="s">
        <v>51</v>
      </c>
      <c r="W25" t="s">
        <v>59</v>
      </c>
      <c r="X25" t="s">
        <v>45</v>
      </c>
    </row>
    <row r="26" spans="1:24" x14ac:dyDescent="0.3">
      <c r="A26" t="s">
        <v>24</v>
      </c>
      <c r="B26">
        <v>26</v>
      </c>
      <c r="C26" t="s">
        <v>25</v>
      </c>
      <c r="D26">
        <v>2</v>
      </c>
      <c r="E26">
        <v>3</v>
      </c>
      <c r="F26">
        <v>7</v>
      </c>
      <c r="G26">
        <v>5</v>
      </c>
      <c r="H26">
        <v>4</v>
      </c>
      <c r="I26">
        <v>1</v>
      </c>
      <c r="J26">
        <v>6</v>
      </c>
      <c r="K26" t="s">
        <v>25</v>
      </c>
      <c r="L26" t="s">
        <v>26</v>
      </c>
      <c r="M26" t="s">
        <v>27</v>
      </c>
      <c r="N26" t="s">
        <v>28</v>
      </c>
      <c r="O26" t="s">
        <v>47</v>
      </c>
      <c r="P26" t="s">
        <v>30</v>
      </c>
      <c r="Q26" t="s">
        <v>61</v>
      </c>
      <c r="R26" t="s">
        <v>67</v>
      </c>
      <c r="S26" t="s">
        <v>33</v>
      </c>
      <c r="T26" t="s">
        <v>27</v>
      </c>
      <c r="U26" t="s">
        <v>34</v>
      </c>
      <c r="V26" t="s">
        <v>51</v>
      </c>
      <c r="W26" t="s">
        <v>59</v>
      </c>
      <c r="X26" t="s">
        <v>37</v>
      </c>
    </row>
    <row r="27" spans="1:24" x14ac:dyDescent="0.3">
      <c r="A27" t="s">
        <v>24</v>
      </c>
      <c r="B27">
        <v>32</v>
      </c>
      <c r="C27" t="s">
        <v>25</v>
      </c>
      <c r="D27">
        <v>3</v>
      </c>
      <c r="E27">
        <v>4</v>
      </c>
      <c r="F27">
        <v>7</v>
      </c>
      <c r="G27">
        <v>5</v>
      </c>
      <c r="H27">
        <v>1</v>
      </c>
      <c r="I27">
        <v>2</v>
      </c>
      <c r="J27">
        <v>6</v>
      </c>
      <c r="K27" t="s">
        <v>25</v>
      </c>
      <c r="L27" t="s">
        <v>60</v>
      </c>
      <c r="M27" t="s">
        <v>63</v>
      </c>
      <c r="N27" t="s">
        <v>28</v>
      </c>
      <c r="O27" t="s">
        <v>47</v>
      </c>
      <c r="P27" t="s">
        <v>30</v>
      </c>
      <c r="Q27" t="s">
        <v>31</v>
      </c>
      <c r="R27" t="s">
        <v>32</v>
      </c>
      <c r="S27" t="s">
        <v>33</v>
      </c>
      <c r="T27" t="s">
        <v>27</v>
      </c>
      <c r="U27" t="s">
        <v>34</v>
      </c>
      <c r="V27" t="s">
        <v>51</v>
      </c>
      <c r="W27" t="s">
        <v>36</v>
      </c>
      <c r="X27" t="s">
        <v>45</v>
      </c>
    </row>
    <row r="28" spans="1:24" x14ac:dyDescent="0.3">
      <c r="A28" t="s">
        <v>46</v>
      </c>
      <c r="B28">
        <v>26</v>
      </c>
      <c r="C28" t="s">
        <v>25</v>
      </c>
      <c r="D28">
        <v>3</v>
      </c>
      <c r="E28">
        <v>4</v>
      </c>
      <c r="F28">
        <v>6</v>
      </c>
      <c r="G28">
        <v>5</v>
      </c>
      <c r="H28">
        <v>1</v>
      </c>
      <c r="I28">
        <v>2</v>
      </c>
      <c r="J28">
        <v>7</v>
      </c>
      <c r="K28" t="s">
        <v>25</v>
      </c>
      <c r="L28" t="s">
        <v>26</v>
      </c>
      <c r="M28" t="s">
        <v>27</v>
      </c>
      <c r="N28" t="s">
        <v>28</v>
      </c>
      <c r="O28" t="s">
        <v>47</v>
      </c>
      <c r="P28" t="s">
        <v>30</v>
      </c>
      <c r="Q28" t="s">
        <v>31</v>
      </c>
      <c r="R28" t="s">
        <v>32</v>
      </c>
      <c r="S28" t="s">
        <v>33</v>
      </c>
      <c r="T28" t="s">
        <v>43</v>
      </c>
      <c r="U28" t="s">
        <v>56</v>
      </c>
      <c r="V28" t="s">
        <v>51</v>
      </c>
      <c r="W28" t="s">
        <v>36</v>
      </c>
      <c r="X28" t="s">
        <v>45</v>
      </c>
    </row>
    <row r="29" spans="1:24" x14ac:dyDescent="0.3">
      <c r="A29" t="s">
        <v>46</v>
      </c>
      <c r="B29">
        <v>31</v>
      </c>
      <c r="C29" t="s">
        <v>25</v>
      </c>
      <c r="D29">
        <v>2</v>
      </c>
      <c r="E29">
        <v>3</v>
      </c>
      <c r="F29">
        <v>7</v>
      </c>
      <c r="G29">
        <v>6</v>
      </c>
      <c r="H29">
        <v>4</v>
      </c>
      <c r="I29">
        <v>1</v>
      </c>
      <c r="J29">
        <v>5</v>
      </c>
      <c r="K29" t="s">
        <v>25</v>
      </c>
      <c r="L29" t="s">
        <v>60</v>
      </c>
      <c r="M29" t="s">
        <v>63</v>
      </c>
      <c r="N29" t="s">
        <v>64</v>
      </c>
      <c r="O29" t="s">
        <v>29</v>
      </c>
      <c r="P29" t="s">
        <v>30</v>
      </c>
      <c r="Q29" t="s">
        <v>31</v>
      </c>
      <c r="R29" t="s">
        <v>65</v>
      </c>
      <c r="S29" t="s">
        <v>42</v>
      </c>
      <c r="T29" t="s">
        <v>27</v>
      </c>
      <c r="U29" t="s">
        <v>56</v>
      </c>
      <c r="V29" t="s">
        <v>35</v>
      </c>
      <c r="W29" t="s">
        <v>36</v>
      </c>
      <c r="X29" t="s">
        <v>52</v>
      </c>
    </row>
    <row r="30" spans="1:24" x14ac:dyDescent="0.3">
      <c r="A30" t="s">
        <v>46</v>
      </c>
      <c r="B30">
        <v>29</v>
      </c>
      <c r="C30" t="s">
        <v>25</v>
      </c>
      <c r="D30">
        <v>2</v>
      </c>
      <c r="E30">
        <v>3</v>
      </c>
      <c r="F30">
        <v>6</v>
      </c>
      <c r="G30">
        <v>5</v>
      </c>
      <c r="H30">
        <v>1</v>
      </c>
      <c r="I30">
        <v>4</v>
      </c>
      <c r="J30">
        <v>7</v>
      </c>
      <c r="K30" t="s">
        <v>25</v>
      </c>
      <c r="L30" t="s">
        <v>26</v>
      </c>
      <c r="M30" t="s">
        <v>27</v>
      </c>
      <c r="N30" t="s">
        <v>28</v>
      </c>
      <c r="O30" t="s">
        <v>29</v>
      </c>
      <c r="P30" t="s">
        <v>30</v>
      </c>
      <c r="Q30" t="s">
        <v>31</v>
      </c>
      <c r="R30" t="s">
        <v>49</v>
      </c>
      <c r="S30" t="s">
        <v>33</v>
      </c>
      <c r="T30" t="s">
        <v>27</v>
      </c>
      <c r="U30" t="s">
        <v>34</v>
      </c>
      <c r="V30" t="s">
        <v>51</v>
      </c>
      <c r="W30" t="s">
        <v>59</v>
      </c>
      <c r="X30" t="s">
        <v>52</v>
      </c>
    </row>
    <row r="31" spans="1:24" x14ac:dyDescent="0.3">
      <c r="A31" t="s">
        <v>24</v>
      </c>
      <c r="B31">
        <v>34</v>
      </c>
      <c r="C31" t="s">
        <v>25</v>
      </c>
      <c r="D31">
        <v>5</v>
      </c>
      <c r="E31">
        <v>4</v>
      </c>
      <c r="F31">
        <v>3</v>
      </c>
      <c r="G31">
        <v>2</v>
      </c>
      <c r="H31">
        <v>7</v>
      </c>
      <c r="I31">
        <v>1</v>
      </c>
      <c r="J31">
        <v>6</v>
      </c>
      <c r="K31" t="s">
        <v>25</v>
      </c>
      <c r="L31" t="s">
        <v>26</v>
      </c>
      <c r="M31" t="s">
        <v>53</v>
      </c>
      <c r="N31" t="s">
        <v>26</v>
      </c>
      <c r="O31" t="s">
        <v>47</v>
      </c>
      <c r="P31" t="s">
        <v>30</v>
      </c>
      <c r="Q31" t="s">
        <v>55</v>
      </c>
      <c r="R31" t="s">
        <v>32</v>
      </c>
      <c r="S31" t="s">
        <v>33</v>
      </c>
      <c r="T31" t="s">
        <v>27</v>
      </c>
      <c r="U31" t="s">
        <v>50</v>
      </c>
      <c r="V31" t="s">
        <v>35</v>
      </c>
      <c r="W31" t="s">
        <v>36</v>
      </c>
      <c r="X31" t="s">
        <v>37</v>
      </c>
    </row>
    <row r="32" spans="1:24" x14ac:dyDescent="0.3">
      <c r="A32" t="s">
        <v>46</v>
      </c>
      <c r="B32">
        <v>27</v>
      </c>
      <c r="C32" t="s">
        <v>25</v>
      </c>
      <c r="D32">
        <v>4</v>
      </c>
      <c r="E32">
        <v>5</v>
      </c>
      <c r="F32">
        <v>1</v>
      </c>
      <c r="G32">
        <v>2</v>
      </c>
      <c r="H32">
        <v>7</v>
      </c>
      <c r="I32">
        <v>3</v>
      </c>
      <c r="J32">
        <v>6</v>
      </c>
      <c r="K32" t="s">
        <v>38</v>
      </c>
      <c r="L32" t="s">
        <v>26</v>
      </c>
      <c r="M32" t="s">
        <v>63</v>
      </c>
      <c r="N32" t="s">
        <v>28</v>
      </c>
      <c r="O32" t="s">
        <v>29</v>
      </c>
      <c r="P32" t="s">
        <v>30</v>
      </c>
      <c r="Q32" t="s">
        <v>55</v>
      </c>
      <c r="R32" t="s">
        <v>32</v>
      </c>
      <c r="S32" t="s">
        <v>66</v>
      </c>
      <c r="T32" t="s">
        <v>27</v>
      </c>
      <c r="U32" t="s">
        <v>50</v>
      </c>
      <c r="V32" t="s">
        <v>35</v>
      </c>
      <c r="W32" t="s">
        <v>36</v>
      </c>
      <c r="X32" t="s">
        <v>52</v>
      </c>
    </row>
    <row r="33" spans="1:24" x14ac:dyDescent="0.3">
      <c r="A33" t="s">
        <v>24</v>
      </c>
      <c r="B33">
        <v>31</v>
      </c>
      <c r="C33" t="s">
        <v>25</v>
      </c>
      <c r="D33">
        <v>2</v>
      </c>
      <c r="E33">
        <v>4</v>
      </c>
      <c r="F33">
        <v>7</v>
      </c>
      <c r="G33">
        <v>6</v>
      </c>
      <c r="H33">
        <v>3</v>
      </c>
      <c r="I33">
        <v>1</v>
      </c>
      <c r="J33">
        <v>5</v>
      </c>
      <c r="K33" t="s">
        <v>25</v>
      </c>
      <c r="L33" t="s">
        <v>26</v>
      </c>
      <c r="M33" t="s">
        <v>27</v>
      </c>
      <c r="N33" t="s">
        <v>28</v>
      </c>
      <c r="O33" t="s">
        <v>47</v>
      </c>
      <c r="P33" t="s">
        <v>30</v>
      </c>
      <c r="Q33" t="s">
        <v>31</v>
      </c>
      <c r="R33" t="s">
        <v>65</v>
      </c>
      <c r="S33" t="s">
        <v>33</v>
      </c>
      <c r="T33" t="s">
        <v>27</v>
      </c>
      <c r="U33" t="s">
        <v>34</v>
      </c>
      <c r="V33" t="s">
        <v>51</v>
      </c>
      <c r="W33" t="s">
        <v>36</v>
      </c>
      <c r="X33" t="s">
        <v>45</v>
      </c>
    </row>
    <row r="34" spans="1:24" x14ac:dyDescent="0.3">
      <c r="A34" t="s">
        <v>46</v>
      </c>
      <c r="B34">
        <v>27</v>
      </c>
      <c r="C34" t="s">
        <v>25</v>
      </c>
      <c r="D34">
        <v>2</v>
      </c>
      <c r="E34">
        <v>4</v>
      </c>
      <c r="F34">
        <v>7</v>
      </c>
      <c r="G34">
        <v>5</v>
      </c>
      <c r="H34">
        <v>1</v>
      </c>
      <c r="I34">
        <v>3</v>
      </c>
      <c r="J34">
        <v>6</v>
      </c>
      <c r="K34" t="s">
        <v>25</v>
      </c>
      <c r="L34" t="s">
        <v>26</v>
      </c>
      <c r="M34" t="s">
        <v>27</v>
      </c>
      <c r="N34" t="s">
        <v>28</v>
      </c>
      <c r="O34" t="s">
        <v>47</v>
      </c>
      <c r="P34" t="s">
        <v>30</v>
      </c>
      <c r="Q34" t="s">
        <v>61</v>
      </c>
      <c r="R34" t="s">
        <v>49</v>
      </c>
      <c r="S34" t="s">
        <v>42</v>
      </c>
      <c r="T34" t="s">
        <v>27</v>
      </c>
      <c r="U34" t="s">
        <v>56</v>
      </c>
      <c r="V34" t="s">
        <v>51</v>
      </c>
      <c r="W34" t="s">
        <v>36</v>
      </c>
      <c r="X34" t="s">
        <v>37</v>
      </c>
    </row>
    <row r="35" spans="1:24" x14ac:dyDescent="0.3">
      <c r="A35" t="s">
        <v>46</v>
      </c>
      <c r="B35">
        <v>26</v>
      </c>
      <c r="C35" t="s">
        <v>25</v>
      </c>
      <c r="D35">
        <v>2</v>
      </c>
      <c r="E35">
        <v>3</v>
      </c>
      <c r="F35">
        <v>6</v>
      </c>
      <c r="G35">
        <v>4</v>
      </c>
      <c r="H35">
        <v>1</v>
      </c>
      <c r="I35">
        <v>5</v>
      </c>
      <c r="J35">
        <v>7</v>
      </c>
      <c r="K35" t="s">
        <v>25</v>
      </c>
      <c r="L35" t="s">
        <v>26</v>
      </c>
      <c r="M35" t="s">
        <v>27</v>
      </c>
      <c r="N35" t="s">
        <v>26</v>
      </c>
      <c r="O35" t="s">
        <v>29</v>
      </c>
      <c r="P35" t="s">
        <v>30</v>
      </c>
      <c r="Q35" t="s">
        <v>31</v>
      </c>
      <c r="R35" t="s">
        <v>65</v>
      </c>
      <c r="S35" t="s">
        <v>66</v>
      </c>
      <c r="T35" t="s">
        <v>43</v>
      </c>
      <c r="U35" t="s">
        <v>34</v>
      </c>
      <c r="V35" t="s">
        <v>35</v>
      </c>
      <c r="W35" t="s">
        <v>59</v>
      </c>
      <c r="X35" t="s">
        <v>37</v>
      </c>
    </row>
    <row r="36" spans="1:24" x14ac:dyDescent="0.3">
      <c r="A36" t="s">
        <v>46</v>
      </c>
      <c r="B36">
        <v>27</v>
      </c>
      <c r="C36" t="s">
        <v>25</v>
      </c>
      <c r="D36">
        <v>2</v>
      </c>
      <c r="E36">
        <v>3</v>
      </c>
      <c r="F36">
        <v>6</v>
      </c>
      <c r="G36">
        <v>5</v>
      </c>
      <c r="H36">
        <v>4</v>
      </c>
      <c r="I36">
        <v>1</v>
      </c>
      <c r="J36">
        <v>7</v>
      </c>
      <c r="K36" t="s">
        <v>25</v>
      </c>
      <c r="L36" t="s">
        <v>26</v>
      </c>
      <c r="M36" t="s">
        <v>27</v>
      </c>
      <c r="N36" t="s">
        <v>28</v>
      </c>
      <c r="O36" t="s">
        <v>29</v>
      </c>
      <c r="P36" t="s">
        <v>41</v>
      </c>
      <c r="Q36" t="s">
        <v>31</v>
      </c>
      <c r="R36" t="s">
        <v>32</v>
      </c>
      <c r="S36" t="s">
        <v>42</v>
      </c>
      <c r="T36" t="s">
        <v>27</v>
      </c>
      <c r="U36" t="s">
        <v>34</v>
      </c>
      <c r="V36" t="s">
        <v>35</v>
      </c>
      <c r="W36" t="s">
        <v>36</v>
      </c>
      <c r="X36" t="s">
        <v>45</v>
      </c>
    </row>
    <row r="37" spans="1:24" x14ac:dyDescent="0.3">
      <c r="A37" t="s">
        <v>46</v>
      </c>
      <c r="B37">
        <v>30</v>
      </c>
      <c r="C37" t="s">
        <v>25</v>
      </c>
      <c r="D37">
        <v>1</v>
      </c>
      <c r="E37">
        <v>4</v>
      </c>
      <c r="F37">
        <v>6</v>
      </c>
      <c r="G37">
        <v>5</v>
      </c>
      <c r="H37">
        <v>3</v>
      </c>
      <c r="I37">
        <v>2</v>
      </c>
      <c r="J37">
        <v>7</v>
      </c>
      <c r="K37" t="s">
        <v>25</v>
      </c>
      <c r="L37" t="s">
        <v>60</v>
      </c>
      <c r="M37" t="s">
        <v>63</v>
      </c>
      <c r="N37" t="s">
        <v>28</v>
      </c>
      <c r="O37" t="s">
        <v>47</v>
      </c>
      <c r="P37" t="s">
        <v>30</v>
      </c>
      <c r="Q37" t="s">
        <v>31</v>
      </c>
      <c r="R37" t="s">
        <v>65</v>
      </c>
      <c r="S37" t="s">
        <v>42</v>
      </c>
      <c r="T37" t="s">
        <v>27</v>
      </c>
      <c r="U37" t="s">
        <v>34</v>
      </c>
      <c r="V37" t="s">
        <v>51</v>
      </c>
      <c r="W37" t="s">
        <v>36</v>
      </c>
      <c r="X37" t="s">
        <v>45</v>
      </c>
    </row>
    <row r="38" spans="1:24" x14ac:dyDescent="0.3">
      <c r="A38" t="s">
        <v>46</v>
      </c>
      <c r="B38">
        <v>30</v>
      </c>
      <c r="C38" t="s">
        <v>25</v>
      </c>
      <c r="D38">
        <v>2</v>
      </c>
      <c r="E38">
        <v>4</v>
      </c>
      <c r="F38">
        <v>7</v>
      </c>
      <c r="G38">
        <v>5</v>
      </c>
      <c r="H38">
        <v>1</v>
      </c>
      <c r="I38">
        <v>3</v>
      </c>
      <c r="J38">
        <v>6</v>
      </c>
      <c r="K38" t="s">
        <v>25</v>
      </c>
      <c r="L38" t="s">
        <v>26</v>
      </c>
      <c r="M38" t="s">
        <v>27</v>
      </c>
      <c r="N38" t="s">
        <v>28</v>
      </c>
      <c r="O38" t="s">
        <v>29</v>
      </c>
      <c r="P38" t="s">
        <v>30</v>
      </c>
      <c r="Q38" t="s">
        <v>31</v>
      </c>
      <c r="R38" t="s">
        <v>49</v>
      </c>
      <c r="S38" t="s">
        <v>33</v>
      </c>
      <c r="T38" t="s">
        <v>27</v>
      </c>
      <c r="U38" t="s">
        <v>34</v>
      </c>
      <c r="V38" t="s">
        <v>51</v>
      </c>
      <c r="W38" t="s">
        <v>59</v>
      </c>
      <c r="X38" t="s">
        <v>37</v>
      </c>
    </row>
    <row r="39" spans="1:24" x14ac:dyDescent="0.3">
      <c r="A39" t="s">
        <v>46</v>
      </c>
      <c r="B39">
        <v>25</v>
      </c>
      <c r="C39" t="s">
        <v>25</v>
      </c>
      <c r="D39">
        <v>5</v>
      </c>
      <c r="E39">
        <v>4</v>
      </c>
      <c r="F39">
        <v>7</v>
      </c>
      <c r="G39">
        <v>6</v>
      </c>
      <c r="H39">
        <v>1</v>
      </c>
      <c r="I39">
        <v>2</v>
      </c>
      <c r="J39">
        <v>3</v>
      </c>
      <c r="K39" t="s">
        <v>25</v>
      </c>
      <c r="L39" t="s">
        <v>60</v>
      </c>
      <c r="M39" t="s">
        <v>63</v>
      </c>
      <c r="N39" t="s">
        <v>64</v>
      </c>
      <c r="O39" t="s">
        <v>47</v>
      </c>
      <c r="P39" t="s">
        <v>30</v>
      </c>
      <c r="Q39" t="s">
        <v>61</v>
      </c>
      <c r="R39" t="s">
        <v>67</v>
      </c>
      <c r="S39" t="s">
        <v>42</v>
      </c>
      <c r="T39" t="s">
        <v>27</v>
      </c>
      <c r="U39" t="s">
        <v>34</v>
      </c>
      <c r="V39" t="s">
        <v>35</v>
      </c>
      <c r="W39" t="s">
        <v>36</v>
      </c>
      <c r="X39" t="s">
        <v>45</v>
      </c>
    </row>
    <row r="40" spans="1:24" x14ac:dyDescent="0.3">
      <c r="A40" t="s">
        <v>46</v>
      </c>
      <c r="B40">
        <v>31</v>
      </c>
      <c r="C40" t="s">
        <v>25</v>
      </c>
      <c r="D40">
        <v>2</v>
      </c>
      <c r="E40">
        <v>4</v>
      </c>
      <c r="F40">
        <v>7</v>
      </c>
      <c r="G40">
        <v>5</v>
      </c>
      <c r="H40">
        <v>3</v>
      </c>
      <c r="I40">
        <v>1</v>
      </c>
      <c r="J40">
        <v>6</v>
      </c>
      <c r="K40" t="s">
        <v>25</v>
      </c>
      <c r="L40" t="s">
        <v>60</v>
      </c>
      <c r="M40" t="s">
        <v>63</v>
      </c>
      <c r="N40" t="s">
        <v>28</v>
      </c>
      <c r="O40" t="s">
        <v>29</v>
      </c>
      <c r="P40" t="s">
        <v>41</v>
      </c>
      <c r="Q40" t="s">
        <v>31</v>
      </c>
      <c r="R40" t="s">
        <v>49</v>
      </c>
      <c r="S40" t="s">
        <v>42</v>
      </c>
      <c r="T40" t="s">
        <v>43</v>
      </c>
      <c r="U40" t="s">
        <v>56</v>
      </c>
      <c r="V40" t="s">
        <v>51</v>
      </c>
      <c r="W40" t="s">
        <v>36</v>
      </c>
      <c r="X40" t="s">
        <v>37</v>
      </c>
    </row>
    <row r="41" spans="1:24" x14ac:dyDescent="0.3">
      <c r="A41" t="s">
        <v>46</v>
      </c>
      <c r="B41">
        <v>29</v>
      </c>
      <c r="C41" t="s">
        <v>25</v>
      </c>
      <c r="D41">
        <v>4</v>
      </c>
      <c r="E41">
        <v>3</v>
      </c>
      <c r="F41">
        <v>5</v>
      </c>
      <c r="G41">
        <v>7</v>
      </c>
      <c r="H41">
        <v>2</v>
      </c>
      <c r="I41">
        <v>1</v>
      </c>
      <c r="J41">
        <v>6</v>
      </c>
      <c r="K41" t="s">
        <v>25</v>
      </c>
      <c r="L41" t="s">
        <v>26</v>
      </c>
      <c r="M41" t="s">
        <v>27</v>
      </c>
      <c r="N41" t="s">
        <v>28</v>
      </c>
      <c r="O41" t="s">
        <v>47</v>
      </c>
      <c r="P41" t="s">
        <v>30</v>
      </c>
      <c r="Q41" t="s">
        <v>31</v>
      </c>
      <c r="R41" t="s">
        <v>65</v>
      </c>
      <c r="S41" t="s">
        <v>33</v>
      </c>
      <c r="T41" t="s">
        <v>43</v>
      </c>
      <c r="U41" t="s">
        <v>34</v>
      </c>
      <c r="V41" t="s">
        <v>35</v>
      </c>
      <c r="W41" t="s">
        <v>36</v>
      </c>
      <c r="X41" t="s">
        <v>45</v>
      </c>
    </row>
  </sheetData>
  <pageMargins left="0.7" right="0.7" top="0.75" bottom="0.75" header="0.3" footer="0.3"/>
  <drawing r:id="rId3"/>
  <tableParts count="1">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AF803-7342-412C-A90D-79357F7FF578}">
  <dimension ref="A1:AJ41"/>
  <sheetViews>
    <sheetView topLeftCell="S1" zoomScale="69" zoomScaleNormal="69" workbookViewId="0">
      <selection activeCell="AG10" sqref="AG10"/>
    </sheetView>
  </sheetViews>
  <sheetFormatPr defaultRowHeight="14.4" x14ac:dyDescent="0.3"/>
  <cols>
    <col min="3" max="3" width="20.44140625" bestFit="1" customWidth="1"/>
    <col min="4" max="4" width="14.6640625" bestFit="1" customWidth="1"/>
    <col min="5" max="5" width="15" bestFit="1" customWidth="1"/>
    <col min="6" max="6" width="12.77734375" bestFit="1" customWidth="1"/>
    <col min="7" max="7" width="19.5546875" bestFit="1" customWidth="1"/>
    <col min="8" max="8" width="16" bestFit="1" customWidth="1"/>
    <col min="10" max="10" width="7.21875" bestFit="1" customWidth="1"/>
    <col min="11" max="11" width="15.33203125" bestFit="1" customWidth="1"/>
    <col min="12" max="12" width="12.6640625" bestFit="1" customWidth="1"/>
    <col min="13" max="13" width="17.44140625" bestFit="1" customWidth="1"/>
    <col min="14" max="14" width="15.21875" bestFit="1" customWidth="1"/>
    <col min="15" max="15" width="15.109375" bestFit="1" customWidth="1"/>
    <col min="16" max="16" width="15.44140625" bestFit="1" customWidth="1"/>
    <col min="18" max="18" width="18.44140625" bestFit="1" customWidth="1"/>
    <col min="19" max="19" width="31.21875" bestFit="1" customWidth="1"/>
    <col min="20" max="20" width="17.44140625" bestFit="1" customWidth="1"/>
    <col min="21" max="21" width="16.88671875" bestFit="1" customWidth="1"/>
    <col min="22" max="22" width="15.109375" bestFit="1" customWidth="1"/>
    <col min="23" max="23" width="16.109375" bestFit="1" customWidth="1"/>
    <col min="24" max="24" width="23.5546875" bestFit="1" customWidth="1"/>
    <col min="26" max="26" width="15.109375" bestFit="1" customWidth="1"/>
    <col min="27" max="27" width="15.33203125" bestFit="1" customWidth="1"/>
    <col min="35" max="35" width="12.44140625" bestFit="1" customWidth="1"/>
    <col min="36" max="36" width="13.88671875" bestFit="1" customWidth="1"/>
  </cols>
  <sheetData>
    <row r="1" spans="1:3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Z1" s="2" t="s">
        <v>68</v>
      </c>
      <c r="AA1" t="s">
        <v>87</v>
      </c>
      <c r="AI1" s="2" t="s">
        <v>68</v>
      </c>
      <c r="AJ1" t="s">
        <v>88</v>
      </c>
    </row>
    <row r="2" spans="1:36" x14ac:dyDescent="0.3">
      <c r="A2" t="s">
        <v>24</v>
      </c>
      <c r="B2">
        <v>34</v>
      </c>
      <c r="C2" t="s">
        <v>25</v>
      </c>
      <c r="D2">
        <v>1</v>
      </c>
      <c r="E2">
        <v>2</v>
      </c>
      <c r="F2">
        <v>5</v>
      </c>
      <c r="G2">
        <v>3</v>
      </c>
      <c r="H2">
        <v>7</v>
      </c>
      <c r="I2">
        <v>6</v>
      </c>
      <c r="J2">
        <v>4</v>
      </c>
      <c r="K2" t="s">
        <v>25</v>
      </c>
      <c r="L2" t="s">
        <v>26</v>
      </c>
      <c r="M2" t="s">
        <v>27</v>
      </c>
      <c r="N2" t="s">
        <v>28</v>
      </c>
      <c r="O2" t="s">
        <v>29</v>
      </c>
      <c r="P2" t="s">
        <v>30</v>
      </c>
      <c r="Q2" t="s">
        <v>31</v>
      </c>
      <c r="R2" t="s">
        <v>32</v>
      </c>
      <c r="S2" t="s">
        <v>33</v>
      </c>
      <c r="T2" t="s">
        <v>27</v>
      </c>
      <c r="U2" t="s">
        <v>34</v>
      </c>
      <c r="V2" t="s">
        <v>35</v>
      </c>
      <c r="W2" t="s">
        <v>36</v>
      </c>
      <c r="X2" t="s">
        <v>37</v>
      </c>
      <c r="Z2" s="1" t="s">
        <v>29</v>
      </c>
      <c r="AA2">
        <v>18</v>
      </c>
      <c r="AI2" s="1" t="s">
        <v>55</v>
      </c>
      <c r="AJ2">
        <v>3</v>
      </c>
    </row>
    <row r="3" spans="1:36" x14ac:dyDescent="0.3">
      <c r="A3" t="s">
        <v>24</v>
      </c>
      <c r="B3">
        <v>23</v>
      </c>
      <c r="C3" t="s">
        <v>25</v>
      </c>
      <c r="D3">
        <v>4</v>
      </c>
      <c r="E3">
        <v>3</v>
      </c>
      <c r="F3">
        <v>2</v>
      </c>
      <c r="G3">
        <v>1</v>
      </c>
      <c r="H3">
        <v>5</v>
      </c>
      <c r="I3">
        <v>6</v>
      </c>
      <c r="J3">
        <v>7</v>
      </c>
      <c r="K3" t="s">
        <v>38</v>
      </c>
      <c r="L3" t="s">
        <v>39</v>
      </c>
      <c r="M3" t="s">
        <v>27</v>
      </c>
      <c r="N3" t="s">
        <v>28</v>
      </c>
      <c r="O3" t="s">
        <v>40</v>
      </c>
      <c r="P3" t="s">
        <v>41</v>
      </c>
      <c r="Q3" t="s">
        <v>31</v>
      </c>
      <c r="R3" t="s">
        <v>32</v>
      </c>
      <c r="S3" t="s">
        <v>42</v>
      </c>
      <c r="T3" t="s">
        <v>43</v>
      </c>
      <c r="U3" t="s">
        <v>34</v>
      </c>
      <c r="V3" t="s">
        <v>35</v>
      </c>
      <c r="W3" t="s">
        <v>44</v>
      </c>
      <c r="X3" t="s">
        <v>45</v>
      </c>
      <c r="Z3" s="1" t="s">
        <v>47</v>
      </c>
      <c r="AA3">
        <v>19</v>
      </c>
      <c r="AI3" s="1" t="s">
        <v>31</v>
      </c>
      <c r="AJ3">
        <v>32</v>
      </c>
    </row>
    <row r="4" spans="1:36" x14ac:dyDescent="0.3">
      <c r="A4" t="s">
        <v>46</v>
      </c>
      <c r="B4">
        <v>30</v>
      </c>
      <c r="C4" t="s">
        <v>25</v>
      </c>
      <c r="D4">
        <v>3</v>
      </c>
      <c r="E4">
        <v>6</v>
      </c>
      <c r="F4">
        <v>4</v>
      </c>
      <c r="G4">
        <v>2</v>
      </c>
      <c r="H4">
        <v>5</v>
      </c>
      <c r="I4">
        <v>1</v>
      </c>
      <c r="J4">
        <v>7</v>
      </c>
      <c r="K4" t="s">
        <v>25</v>
      </c>
      <c r="L4" t="s">
        <v>26</v>
      </c>
      <c r="M4" t="s">
        <v>27</v>
      </c>
      <c r="N4" t="s">
        <v>28</v>
      </c>
      <c r="O4" t="s">
        <v>47</v>
      </c>
      <c r="P4" t="s">
        <v>48</v>
      </c>
      <c r="Q4" t="s">
        <v>31</v>
      </c>
      <c r="R4" t="s">
        <v>49</v>
      </c>
      <c r="S4" t="s">
        <v>33</v>
      </c>
      <c r="T4" t="s">
        <v>27</v>
      </c>
      <c r="U4" t="s">
        <v>50</v>
      </c>
      <c r="V4" t="s">
        <v>51</v>
      </c>
      <c r="W4" t="s">
        <v>36</v>
      </c>
      <c r="X4" t="s">
        <v>52</v>
      </c>
      <c r="Z4" s="1" t="s">
        <v>54</v>
      </c>
      <c r="AA4">
        <v>2</v>
      </c>
      <c r="AI4" s="1" t="s">
        <v>61</v>
      </c>
      <c r="AJ4">
        <v>5</v>
      </c>
    </row>
    <row r="5" spans="1:36" x14ac:dyDescent="0.3">
      <c r="A5" t="s">
        <v>46</v>
      </c>
      <c r="B5">
        <v>22</v>
      </c>
      <c r="C5" t="s">
        <v>25</v>
      </c>
      <c r="D5">
        <v>2</v>
      </c>
      <c r="E5">
        <v>1</v>
      </c>
      <c r="F5">
        <v>3</v>
      </c>
      <c r="G5">
        <v>7</v>
      </c>
      <c r="H5">
        <v>6</v>
      </c>
      <c r="I5">
        <v>4</v>
      </c>
      <c r="J5">
        <v>5</v>
      </c>
      <c r="K5" t="s">
        <v>25</v>
      </c>
      <c r="L5" t="s">
        <v>26</v>
      </c>
      <c r="M5" t="s">
        <v>53</v>
      </c>
      <c r="N5" t="s">
        <v>28</v>
      </c>
      <c r="O5" t="s">
        <v>54</v>
      </c>
      <c r="P5" t="s">
        <v>48</v>
      </c>
      <c r="Q5" t="s">
        <v>55</v>
      </c>
      <c r="R5" t="s">
        <v>49</v>
      </c>
      <c r="S5" t="s">
        <v>33</v>
      </c>
      <c r="T5" t="s">
        <v>43</v>
      </c>
      <c r="U5" t="s">
        <v>56</v>
      </c>
      <c r="V5" t="s">
        <v>57</v>
      </c>
      <c r="W5" t="s">
        <v>44</v>
      </c>
      <c r="X5" t="s">
        <v>58</v>
      </c>
      <c r="Z5" s="1" t="s">
        <v>40</v>
      </c>
      <c r="AA5">
        <v>1</v>
      </c>
      <c r="AI5" s="1" t="s">
        <v>70</v>
      </c>
      <c r="AJ5">
        <v>40</v>
      </c>
    </row>
    <row r="6" spans="1:36" x14ac:dyDescent="0.3">
      <c r="A6" t="s">
        <v>24</v>
      </c>
      <c r="B6">
        <v>24</v>
      </c>
      <c r="C6" t="s">
        <v>38</v>
      </c>
      <c r="D6">
        <v>2</v>
      </c>
      <c r="E6">
        <v>1</v>
      </c>
      <c r="F6">
        <v>3</v>
      </c>
      <c r="G6">
        <v>6</v>
      </c>
      <c r="H6">
        <v>4</v>
      </c>
      <c r="I6">
        <v>5</v>
      </c>
      <c r="J6">
        <v>7</v>
      </c>
      <c r="K6" t="s">
        <v>38</v>
      </c>
      <c r="L6" t="s">
        <v>26</v>
      </c>
      <c r="M6" t="s">
        <v>53</v>
      </c>
      <c r="N6" t="s">
        <v>28</v>
      </c>
      <c r="O6" t="s">
        <v>54</v>
      </c>
      <c r="P6" t="s">
        <v>48</v>
      </c>
      <c r="Q6" t="s">
        <v>31</v>
      </c>
      <c r="R6" t="s">
        <v>49</v>
      </c>
      <c r="S6" t="s">
        <v>33</v>
      </c>
      <c r="T6" t="s">
        <v>27</v>
      </c>
      <c r="U6" t="s">
        <v>34</v>
      </c>
      <c r="V6" t="s">
        <v>35</v>
      </c>
      <c r="W6" t="s">
        <v>59</v>
      </c>
      <c r="X6" t="s">
        <v>58</v>
      </c>
      <c r="Z6" s="1" t="s">
        <v>70</v>
      </c>
      <c r="AA6">
        <v>40</v>
      </c>
    </row>
    <row r="7" spans="1:36" x14ac:dyDescent="0.3">
      <c r="A7" t="s">
        <v>24</v>
      </c>
      <c r="B7">
        <v>24</v>
      </c>
      <c r="C7" t="s">
        <v>38</v>
      </c>
      <c r="D7">
        <v>7</v>
      </c>
      <c r="E7">
        <v>5</v>
      </c>
      <c r="F7">
        <v>4</v>
      </c>
      <c r="G7">
        <v>6</v>
      </c>
      <c r="H7">
        <v>3</v>
      </c>
      <c r="I7">
        <v>1</v>
      </c>
      <c r="J7">
        <v>2</v>
      </c>
      <c r="K7" t="s">
        <v>38</v>
      </c>
      <c r="L7" t="s">
        <v>60</v>
      </c>
      <c r="M7" t="s">
        <v>27</v>
      </c>
      <c r="N7" t="s">
        <v>28</v>
      </c>
      <c r="O7" t="s">
        <v>29</v>
      </c>
      <c r="P7" t="s">
        <v>48</v>
      </c>
      <c r="Q7" t="s">
        <v>61</v>
      </c>
      <c r="R7" t="s">
        <v>32</v>
      </c>
      <c r="S7" t="s">
        <v>33</v>
      </c>
      <c r="T7" t="s">
        <v>62</v>
      </c>
      <c r="U7" t="s">
        <v>56</v>
      </c>
      <c r="V7" t="s">
        <v>35</v>
      </c>
      <c r="W7" t="s">
        <v>59</v>
      </c>
      <c r="X7" t="s">
        <v>58</v>
      </c>
    </row>
    <row r="8" spans="1:36" x14ac:dyDescent="0.3">
      <c r="A8" t="s">
        <v>24</v>
      </c>
      <c r="B8">
        <v>27</v>
      </c>
      <c r="C8" t="s">
        <v>25</v>
      </c>
      <c r="D8">
        <v>3</v>
      </c>
      <c r="E8">
        <v>6</v>
      </c>
      <c r="F8">
        <v>4</v>
      </c>
      <c r="G8">
        <v>2</v>
      </c>
      <c r="H8">
        <v>5</v>
      </c>
      <c r="I8">
        <v>1</v>
      </c>
      <c r="J8">
        <v>7</v>
      </c>
      <c r="K8" t="s">
        <v>25</v>
      </c>
      <c r="L8" t="s">
        <v>26</v>
      </c>
      <c r="M8" t="s">
        <v>27</v>
      </c>
      <c r="N8" t="s">
        <v>28</v>
      </c>
      <c r="O8" t="s">
        <v>47</v>
      </c>
      <c r="P8" t="s">
        <v>30</v>
      </c>
      <c r="Q8" t="s">
        <v>31</v>
      </c>
      <c r="R8" t="s">
        <v>49</v>
      </c>
      <c r="S8" t="s">
        <v>33</v>
      </c>
      <c r="T8" t="s">
        <v>27</v>
      </c>
      <c r="U8" t="s">
        <v>34</v>
      </c>
      <c r="V8" t="s">
        <v>51</v>
      </c>
      <c r="W8" t="s">
        <v>44</v>
      </c>
      <c r="X8" t="s">
        <v>45</v>
      </c>
    </row>
    <row r="9" spans="1:36" x14ac:dyDescent="0.3">
      <c r="A9" t="s">
        <v>46</v>
      </c>
      <c r="B9">
        <v>21</v>
      </c>
      <c r="C9" t="s">
        <v>25</v>
      </c>
      <c r="D9">
        <v>2</v>
      </c>
      <c r="E9">
        <v>3</v>
      </c>
      <c r="F9">
        <v>7</v>
      </c>
      <c r="G9">
        <v>4</v>
      </c>
      <c r="H9">
        <v>6</v>
      </c>
      <c r="I9">
        <v>1</v>
      </c>
      <c r="J9">
        <v>5</v>
      </c>
      <c r="K9" t="s">
        <v>25</v>
      </c>
      <c r="L9" t="s">
        <v>60</v>
      </c>
      <c r="M9" t="s">
        <v>27</v>
      </c>
      <c r="N9" t="s">
        <v>28</v>
      </c>
      <c r="O9" t="s">
        <v>47</v>
      </c>
      <c r="P9" t="s">
        <v>30</v>
      </c>
      <c r="Q9" t="s">
        <v>31</v>
      </c>
      <c r="R9" t="s">
        <v>32</v>
      </c>
      <c r="S9" t="s">
        <v>33</v>
      </c>
      <c r="T9" t="s">
        <v>27</v>
      </c>
      <c r="U9" t="s">
        <v>34</v>
      </c>
      <c r="V9" t="s">
        <v>51</v>
      </c>
      <c r="W9" t="s">
        <v>59</v>
      </c>
      <c r="X9" t="s">
        <v>37</v>
      </c>
    </row>
    <row r="10" spans="1:36" x14ac:dyDescent="0.3">
      <c r="A10" t="s">
        <v>46</v>
      </c>
      <c r="B10">
        <v>35</v>
      </c>
      <c r="C10" t="s">
        <v>25</v>
      </c>
      <c r="D10">
        <v>2</v>
      </c>
      <c r="E10">
        <v>4</v>
      </c>
      <c r="F10">
        <v>7</v>
      </c>
      <c r="G10">
        <v>5</v>
      </c>
      <c r="H10">
        <v>3</v>
      </c>
      <c r="I10">
        <v>1</v>
      </c>
      <c r="J10">
        <v>6</v>
      </c>
      <c r="K10" t="s">
        <v>25</v>
      </c>
      <c r="L10" t="s">
        <v>26</v>
      </c>
      <c r="M10" t="s">
        <v>63</v>
      </c>
      <c r="N10" t="s">
        <v>64</v>
      </c>
      <c r="O10" t="s">
        <v>29</v>
      </c>
      <c r="P10" t="s">
        <v>41</v>
      </c>
      <c r="Q10" t="s">
        <v>31</v>
      </c>
      <c r="R10" t="s">
        <v>49</v>
      </c>
      <c r="S10" t="s">
        <v>33</v>
      </c>
      <c r="T10" t="s">
        <v>27</v>
      </c>
      <c r="U10" t="s">
        <v>56</v>
      </c>
      <c r="V10" t="s">
        <v>35</v>
      </c>
      <c r="W10" t="s">
        <v>36</v>
      </c>
      <c r="X10" t="s">
        <v>52</v>
      </c>
    </row>
    <row r="11" spans="1:36" x14ac:dyDescent="0.3">
      <c r="A11" t="s">
        <v>46</v>
      </c>
      <c r="B11">
        <v>31</v>
      </c>
      <c r="C11" t="s">
        <v>25</v>
      </c>
      <c r="D11">
        <v>1</v>
      </c>
      <c r="E11">
        <v>3</v>
      </c>
      <c r="F11">
        <v>7</v>
      </c>
      <c r="G11">
        <v>4</v>
      </c>
      <c r="H11">
        <v>5</v>
      </c>
      <c r="I11">
        <v>2</v>
      </c>
      <c r="J11">
        <v>6</v>
      </c>
      <c r="K11" t="s">
        <v>25</v>
      </c>
      <c r="L11" t="s">
        <v>26</v>
      </c>
      <c r="M11" t="s">
        <v>27</v>
      </c>
      <c r="N11" t="s">
        <v>28</v>
      </c>
      <c r="O11" t="s">
        <v>47</v>
      </c>
      <c r="P11" t="s">
        <v>30</v>
      </c>
      <c r="Q11" t="s">
        <v>61</v>
      </c>
      <c r="R11" t="s">
        <v>65</v>
      </c>
      <c r="S11" t="s">
        <v>33</v>
      </c>
      <c r="T11" t="s">
        <v>27</v>
      </c>
      <c r="U11" t="s">
        <v>56</v>
      </c>
      <c r="V11" t="s">
        <v>51</v>
      </c>
      <c r="W11" t="s">
        <v>36</v>
      </c>
      <c r="X11" t="s">
        <v>37</v>
      </c>
    </row>
    <row r="12" spans="1:36" x14ac:dyDescent="0.3">
      <c r="A12" t="s">
        <v>24</v>
      </c>
      <c r="B12">
        <v>35</v>
      </c>
      <c r="C12" t="s">
        <v>25</v>
      </c>
      <c r="D12">
        <v>2</v>
      </c>
      <c r="E12">
        <v>4</v>
      </c>
      <c r="F12">
        <v>7</v>
      </c>
      <c r="G12">
        <v>5</v>
      </c>
      <c r="H12">
        <v>3</v>
      </c>
      <c r="I12">
        <v>1</v>
      </c>
      <c r="J12">
        <v>6</v>
      </c>
      <c r="K12" t="s">
        <v>25</v>
      </c>
      <c r="L12" t="s">
        <v>60</v>
      </c>
      <c r="M12" t="s">
        <v>63</v>
      </c>
      <c r="N12" t="s">
        <v>64</v>
      </c>
      <c r="O12" t="s">
        <v>47</v>
      </c>
      <c r="P12" t="s">
        <v>30</v>
      </c>
      <c r="Q12" t="s">
        <v>31</v>
      </c>
      <c r="R12" t="s">
        <v>32</v>
      </c>
      <c r="S12" t="s">
        <v>33</v>
      </c>
      <c r="T12" t="s">
        <v>27</v>
      </c>
      <c r="U12" t="s">
        <v>34</v>
      </c>
      <c r="V12" t="s">
        <v>51</v>
      </c>
      <c r="W12" t="s">
        <v>59</v>
      </c>
      <c r="X12" t="s">
        <v>45</v>
      </c>
    </row>
    <row r="13" spans="1:36" x14ac:dyDescent="0.3">
      <c r="A13" t="s">
        <v>46</v>
      </c>
      <c r="B13">
        <v>29</v>
      </c>
      <c r="C13" t="s">
        <v>25</v>
      </c>
      <c r="D13">
        <v>2</v>
      </c>
      <c r="E13">
        <v>5</v>
      </c>
      <c r="F13">
        <v>7</v>
      </c>
      <c r="G13">
        <v>6</v>
      </c>
      <c r="H13">
        <v>3</v>
      </c>
      <c r="I13">
        <v>1</v>
      </c>
      <c r="J13">
        <v>4</v>
      </c>
      <c r="K13" t="s">
        <v>25</v>
      </c>
      <c r="L13" t="s">
        <v>60</v>
      </c>
      <c r="M13" t="s">
        <v>27</v>
      </c>
      <c r="N13" t="s">
        <v>28</v>
      </c>
      <c r="O13" t="s">
        <v>29</v>
      </c>
      <c r="P13" t="s">
        <v>30</v>
      </c>
      <c r="Q13" t="s">
        <v>31</v>
      </c>
      <c r="R13" t="s">
        <v>32</v>
      </c>
      <c r="S13" t="s">
        <v>33</v>
      </c>
      <c r="T13" t="s">
        <v>27</v>
      </c>
      <c r="U13" t="s">
        <v>56</v>
      </c>
      <c r="V13" t="s">
        <v>51</v>
      </c>
      <c r="W13" t="s">
        <v>36</v>
      </c>
      <c r="X13" t="s">
        <v>45</v>
      </c>
    </row>
    <row r="14" spans="1:36" x14ac:dyDescent="0.3">
      <c r="A14" t="s">
        <v>24</v>
      </c>
      <c r="B14">
        <v>21</v>
      </c>
      <c r="C14" t="s">
        <v>38</v>
      </c>
      <c r="D14">
        <v>1</v>
      </c>
      <c r="E14">
        <v>2</v>
      </c>
      <c r="F14">
        <v>3</v>
      </c>
      <c r="G14">
        <v>4</v>
      </c>
      <c r="H14">
        <v>5</v>
      </c>
      <c r="I14">
        <v>6</v>
      </c>
      <c r="J14">
        <v>7</v>
      </c>
      <c r="K14" t="s">
        <v>38</v>
      </c>
      <c r="L14" t="s">
        <v>26</v>
      </c>
      <c r="M14" t="s">
        <v>27</v>
      </c>
      <c r="N14" t="s">
        <v>64</v>
      </c>
      <c r="O14" t="s">
        <v>29</v>
      </c>
      <c r="P14" t="s">
        <v>41</v>
      </c>
      <c r="Q14" t="s">
        <v>31</v>
      </c>
      <c r="R14" t="s">
        <v>32</v>
      </c>
      <c r="S14" t="s">
        <v>66</v>
      </c>
      <c r="T14" t="s">
        <v>43</v>
      </c>
      <c r="U14" t="s">
        <v>34</v>
      </c>
      <c r="V14" t="s">
        <v>35</v>
      </c>
      <c r="W14" t="s">
        <v>59</v>
      </c>
      <c r="X14" t="s">
        <v>58</v>
      </c>
    </row>
    <row r="15" spans="1:36" x14ac:dyDescent="0.3">
      <c r="A15" t="s">
        <v>24</v>
      </c>
      <c r="B15">
        <v>28</v>
      </c>
      <c r="C15" t="s">
        <v>25</v>
      </c>
      <c r="D15">
        <v>2</v>
      </c>
      <c r="E15">
        <v>3</v>
      </c>
      <c r="F15">
        <v>7</v>
      </c>
      <c r="G15">
        <v>4</v>
      </c>
      <c r="H15">
        <v>5</v>
      </c>
      <c r="I15">
        <v>1</v>
      </c>
      <c r="J15">
        <v>6</v>
      </c>
      <c r="K15" t="s">
        <v>25</v>
      </c>
      <c r="L15" t="s">
        <v>26</v>
      </c>
      <c r="M15" t="s">
        <v>27</v>
      </c>
      <c r="N15" t="s">
        <v>28</v>
      </c>
      <c r="O15" t="s">
        <v>29</v>
      </c>
      <c r="P15" t="s">
        <v>30</v>
      </c>
      <c r="Q15" t="s">
        <v>31</v>
      </c>
      <c r="R15" t="s">
        <v>32</v>
      </c>
      <c r="S15" t="s">
        <v>33</v>
      </c>
      <c r="T15" t="s">
        <v>27</v>
      </c>
      <c r="U15" t="s">
        <v>56</v>
      </c>
      <c r="V15" t="s">
        <v>51</v>
      </c>
      <c r="W15" t="s">
        <v>59</v>
      </c>
      <c r="X15" t="s">
        <v>37</v>
      </c>
    </row>
    <row r="16" spans="1:36" x14ac:dyDescent="0.3">
      <c r="A16" t="s">
        <v>24</v>
      </c>
      <c r="B16">
        <v>25</v>
      </c>
      <c r="C16" t="s">
        <v>25</v>
      </c>
      <c r="D16">
        <v>2</v>
      </c>
      <c r="E16">
        <v>3</v>
      </c>
      <c r="F16">
        <v>7</v>
      </c>
      <c r="G16">
        <v>5</v>
      </c>
      <c r="H16">
        <v>4</v>
      </c>
      <c r="I16">
        <v>1</v>
      </c>
      <c r="J16">
        <v>6</v>
      </c>
      <c r="K16" t="s">
        <v>25</v>
      </c>
      <c r="L16" t="s">
        <v>26</v>
      </c>
      <c r="M16" t="s">
        <v>27</v>
      </c>
      <c r="N16" t="s">
        <v>28</v>
      </c>
      <c r="O16" t="s">
        <v>29</v>
      </c>
      <c r="P16" t="s">
        <v>30</v>
      </c>
      <c r="Q16" t="s">
        <v>31</v>
      </c>
      <c r="R16" t="s">
        <v>65</v>
      </c>
      <c r="S16" t="s">
        <v>42</v>
      </c>
      <c r="T16" t="s">
        <v>43</v>
      </c>
      <c r="U16" t="s">
        <v>34</v>
      </c>
      <c r="V16" t="s">
        <v>51</v>
      </c>
      <c r="W16" t="s">
        <v>59</v>
      </c>
      <c r="X16" t="s">
        <v>45</v>
      </c>
    </row>
    <row r="17" spans="1:24" x14ac:dyDescent="0.3">
      <c r="A17" t="s">
        <v>46</v>
      </c>
      <c r="B17">
        <v>27</v>
      </c>
      <c r="C17" t="s">
        <v>25</v>
      </c>
      <c r="D17">
        <v>2</v>
      </c>
      <c r="E17">
        <v>3</v>
      </c>
      <c r="F17">
        <v>7</v>
      </c>
      <c r="G17">
        <v>5</v>
      </c>
      <c r="H17">
        <v>4</v>
      </c>
      <c r="I17">
        <v>1</v>
      </c>
      <c r="J17">
        <v>6</v>
      </c>
      <c r="K17" t="s">
        <v>25</v>
      </c>
      <c r="L17" t="s">
        <v>26</v>
      </c>
      <c r="M17" t="s">
        <v>27</v>
      </c>
      <c r="N17" t="s">
        <v>28</v>
      </c>
      <c r="O17" t="s">
        <v>29</v>
      </c>
      <c r="P17" t="s">
        <v>30</v>
      </c>
      <c r="Q17" t="s">
        <v>31</v>
      </c>
      <c r="R17" t="s">
        <v>32</v>
      </c>
      <c r="S17" t="s">
        <v>42</v>
      </c>
      <c r="T17" t="s">
        <v>27</v>
      </c>
      <c r="U17" t="s">
        <v>56</v>
      </c>
      <c r="V17" t="s">
        <v>51</v>
      </c>
      <c r="W17" t="s">
        <v>59</v>
      </c>
      <c r="X17" t="s">
        <v>37</v>
      </c>
    </row>
    <row r="18" spans="1:24" x14ac:dyDescent="0.3">
      <c r="A18" t="s">
        <v>24</v>
      </c>
      <c r="B18">
        <v>28</v>
      </c>
      <c r="C18" t="s">
        <v>25</v>
      </c>
      <c r="D18">
        <v>3</v>
      </c>
      <c r="E18">
        <v>2</v>
      </c>
      <c r="F18">
        <v>7</v>
      </c>
      <c r="G18">
        <v>5</v>
      </c>
      <c r="H18">
        <v>4</v>
      </c>
      <c r="I18">
        <v>1</v>
      </c>
      <c r="J18">
        <v>6</v>
      </c>
      <c r="K18" t="s">
        <v>25</v>
      </c>
      <c r="L18" t="s">
        <v>60</v>
      </c>
      <c r="M18" t="s">
        <v>63</v>
      </c>
      <c r="N18" t="s">
        <v>28</v>
      </c>
      <c r="O18" t="s">
        <v>29</v>
      </c>
      <c r="P18" t="s">
        <v>30</v>
      </c>
      <c r="Q18" t="s">
        <v>31</v>
      </c>
      <c r="R18" t="s">
        <v>65</v>
      </c>
      <c r="S18" t="s">
        <v>42</v>
      </c>
      <c r="T18" t="s">
        <v>27</v>
      </c>
      <c r="U18" t="s">
        <v>56</v>
      </c>
      <c r="V18" t="s">
        <v>51</v>
      </c>
      <c r="W18" t="s">
        <v>59</v>
      </c>
      <c r="X18" t="s">
        <v>52</v>
      </c>
    </row>
    <row r="19" spans="1:24" x14ac:dyDescent="0.3">
      <c r="A19" t="s">
        <v>46</v>
      </c>
      <c r="B19">
        <v>27</v>
      </c>
      <c r="C19" t="s">
        <v>25</v>
      </c>
      <c r="D19">
        <v>3</v>
      </c>
      <c r="E19">
        <v>2</v>
      </c>
      <c r="F19">
        <v>7</v>
      </c>
      <c r="G19">
        <v>4</v>
      </c>
      <c r="H19">
        <v>5</v>
      </c>
      <c r="I19">
        <v>1</v>
      </c>
      <c r="J19">
        <v>6</v>
      </c>
      <c r="K19" t="s">
        <v>25</v>
      </c>
      <c r="L19" t="s">
        <v>26</v>
      </c>
      <c r="M19" t="s">
        <v>27</v>
      </c>
      <c r="N19" t="s">
        <v>28</v>
      </c>
      <c r="O19" t="s">
        <v>29</v>
      </c>
      <c r="P19" t="s">
        <v>30</v>
      </c>
      <c r="Q19" t="s">
        <v>31</v>
      </c>
      <c r="R19" t="s">
        <v>32</v>
      </c>
      <c r="S19" t="s">
        <v>33</v>
      </c>
      <c r="T19" t="s">
        <v>27</v>
      </c>
      <c r="U19" t="s">
        <v>34</v>
      </c>
      <c r="V19" t="s">
        <v>51</v>
      </c>
      <c r="W19" t="s">
        <v>59</v>
      </c>
      <c r="X19" t="s">
        <v>45</v>
      </c>
    </row>
    <row r="20" spans="1:24" x14ac:dyDescent="0.3">
      <c r="A20" t="s">
        <v>46</v>
      </c>
      <c r="B20">
        <v>29</v>
      </c>
      <c r="C20" t="s">
        <v>25</v>
      </c>
      <c r="D20">
        <v>3</v>
      </c>
      <c r="E20">
        <v>2</v>
      </c>
      <c r="F20">
        <v>7</v>
      </c>
      <c r="G20">
        <v>4</v>
      </c>
      <c r="H20">
        <v>5</v>
      </c>
      <c r="I20">
        <v>1</v>
      </c>
      <c r="J20">
        <v>6</v>
      </c>
      <c r="K20" t="s">
        <v>25</v>
      </c>
      <c r="L20" t="s">
        <v>60</v>
      </c>
      <c r="M20" t="s">
        <v>27</v>
      </c>
      <c r="N20" t="s">
        <v>28</v>
      </c>
      <c r="O20" t="s">
        <v>29</v>
      </c>
      <c r="P20" t="s">
        <v>30</v>
      </c>
      <c r="Q20" t="s">
        <v>31</v>
      </c>
      <c r="R20" t="s">
        <v>32</v>
      </c>
      <c r="S20" t="s">
        <v>33</v>
      </c>
      <c r="T20" t="s">
        <v>27</v>
      </c>
      <c r="U20" t="s">
        <v>34</v>
      </c>
      <c r="V20" t="s">
        <v>51</v>
      </c>
      <c r="W20" t="s">
        <v>59</v>
      </c>
      <c r="X20" t="s">
        <v>37</v>
      </c>
    </row>
    <row r="21" spans="1:24" x14ac:dyDescent="0.3">
      <c r="A21" t="s">
        <v>46</v>
      </c>
      <c r="B21">
        <v>26</v>
      </c>
      <c r="C21" t="s">
        <v>25</v>
      </c>
      <c r="D21">
        <v>3</v>
      </c>
      <c r="E21">
        <v>4</v>
      </c>
      <c r="F21">
        <v>6</v>
      </c>
      <c r="G21">
        <v>5</v>
      </c>
      <c r="H21">
        <v>1</v>
      </c>
      <c r="I21">
        <v>2</v>
      </c>
      <c r="J21">
        <v>7</v>
      </c>
      <c r="K21" t="s">
        <v>25</v>
      </c>
      <c r="L21" t="s">
        <v>60</v>
      </c>
      <c r="M21" t="s">
        <v>27</v>
      </c>
      <c r="N21" t="s">
        <v>28</v>
      </c>
      <c r="O21" t="s">
        <v>47</v>
      </c>
      <c r="P21" t="s">
        <v>30</v>
      </c>
      <c r="Q21" t="s">
        <v>31</v>
      </c>
      <c r="R21" t="s">
        <v>65</v>
      </c>
      <c r="S21" t="s">
        <v>42</v>
      </c>
      <c r="T21" t="s">
        <v>27</v>
      </c>
      <c r="U21" t="s">
        <v>56</v>
      </c>
      <c r="V21" t="s">
        <v>51</v>
      </c>
      <c r="W21" t="s">
        <v>59</v>
      </c>
      <c r="X21" t="s">
        <v>37</v>
      </c>
    </row>
    <row r="22" spans="1:24" x14ac:dyDescent="0.3">
      <c r="A22" t="s">
        <v>46</v>
      </c>
      <c r="B22">
        <v>29</v>
      </c>
      <c r="C22" t="s">
        <v>25</v>
      </c>
      <c r="D22">
        <v>2</v>
      </c>
      <c r="E22">
        <v>4</v>
      </c>
      <c r="F22">
        <v>7</v>
      </c>
      <c r="G22">
        <v>5</v>
      </c>
      <c r="H22">
        <v>3</v>
      </c>
      <c r="I22">
        <v>1</v>
      </c>
      <c r="J22">
        <v>6</v>
      </c>
      <c r="K22" t="s">
        <v>25</v>
      </c>
      <c r="L22" t="s">
        <v>26</v>
      </c>
      <c r="M22" t="s">
        <v>63</v>
      </c>
      <c r="N22" t="s">
        <v>28</v>
      </c>
      <c r="O22" t="s">
        <v>47</v>
      </c>
      <c r="P22" t="s">
        <v>41</v>
      </c>
      <c r="Q22" t="s">
        <v>31</v>
      </c>
      <c r="R22" t="s">
        <v>32</v>
      </c>
      <c r="S22" t="s">
        <v>33</v>
      </c>
      <c r="T22" t="s">
        <v>27</v>
      </c>
      <c r="U22" t="s">
        <v>34</v>
      </c>
      <c r="V22" t="s">
        <v>51</v>
      </c>
      <c r="W22" t="s">
        <v>36</v>
      </c>
      <c r="X22" t="s">
        <v>45</v>
      </c>
    </row>
    <row r="23" spans="1:24" x14ac:dyDescent="0.3">
      <c r="A23" t="s">
        <v>24</v>
      </c>
      <c r="B23">
        <v>24</v>
      </c>
      <c r="C23" t="s">
        <v>25</v>
      </c>
      <c r="D23">
        <v>2</v>
      </c>
      <c r="E23">
        <v>4</v>
      </c>
      <c r="F23">
        <v>5</v>
      </c>
      <c r="G23">
        <v>6</v>
      </c>
      <c r="H23">
        <v>3</v>
      </c>
      <c r="I23">
        <v>1</v>
      </c>
      <c r="J23">
        <v>7</v>
      </c>
      <c r="K23" t="s">
        <v>25</v>
      </c>
      <c r="L23" t="s">
        <v>60</v>
      </c>
      <c r="M23" t="s">
        <v>27</v>
      </c>
      <c r="N23" t="s">
        <v>28</v>
      </c>
      <c r="O23" t="s">
        <v>47</v>
      </c>
      <c r="P23" t="s">
        <v>30</v>
      </c>
      <c r="Q23" t="s">
        <v>31</v>
      </c>
      <c r="R23" t="s">
        <v>49</v>
      </c>
      <c r="S23" t="s">
        <v>42</v>
      </c>
      <c r="T23" t="s">
        <v>27</v>
      </c>
      <c r="U23" t="s">
        <v>34</v>
      </c>
      <c r="V23" t="s">
        <v>51</v>
      </c>
      <c r="W23" t="s">
        <v>59</v>
      </c>
      <c r="X23" t="s">
        <v>37</v>
      </c>
    </row>
    <row r="24" spans="1:24" x14ac:dyDescent="0.3">
      <c r="A24" t="s">
        <v>46</v>
      </c>
      <c r="B24">
        <v>27</v>
      </c>
      <c r="C24" t="s">
        <v>25</v>
      </c>
      <c r="D24">
        <v>3</v>
      </c>
      <c r="E24">
        <v>4</v>
      </c>
      <c r="F24">
        <v>6</v>
      </c>
      <c r="G24">
        <v>5</v>
      </c>
      <c r="H24">
        <v>2</v>
      </c>
      <c r="I24">
        <v>1</v>
      </c>
      <c r="J24">
        <v>7</v>
      </c>
      <c r="K24" t="s">
        <v>25</v>
      </c>
      <c r="L24" t="s">
        <v>26</v>
      </c>
      <c r="M24" t="s">
        <v>27</v>
      </c>
      <c r="N24" t="s">
        <v>28</v>
      </c>
      <c r="O24" t="s">
        <v>47</v>
      </c>
      <c r="P24" t="s">
        <v>30</v>
      </c>
      <c r="Q24" t="s">
        <v>31</v>
      </c>
      <c r="R24" t="s">
        <v>32</v>
      </c>
      <c r="S24" t="s">
        <v>33</v>
      </c>
      <c r="T24" t="s">
        <v>27</v>
      </c>
      <c r="U24" t="s">
        <v>34</v>
      </c>
      <c r="V24" t="s">
        <v>51</v>
      </c>
      <c r="W24" t="s">
        <v>59</v>
      </c>
      <c r="X24" t="s">
        <v>45</v>
      </c>
    </row>
    <row r="25" spans="1:24" x14ac:dyDescent="0.3">
      <c r="A25" t="s">
        <v>46</v>
      </c>
      <c r="B25">
        <v>25</v>
      </c>
      <c r="C25" t="s">
        <v>25</v>
      </c>
      <c r="D25">
        <v>2</v>
      </c>
      <c r="E25">
        <v>4</v>
      </c>
      <c r="F25">
        <v>6</v>
      </c>
      <c r="G25">
        <v>5</v>
      </c>
      <c r="H25">
        <v>3</v>
      </c>
      <c r="I25">
        <v>1</v>
      </c>
      <c r="J25">
        <v>7</v>
      </c>
      <c r="K25" t="s">
        <v>25</v>
      </c>
      <c r="L25" t="s">
        <v>60</v>
      </c>
      <c r="M25" t="s">
        <v>63</v>
      </c>
      <c r="N25" t="s">
        <v>64</v>
      </c>
      <c r="O25" t="s">
        <v>47</v>
      </c>
      <c r="P25" t="s">
        <v>41</v>
      </c>
      <c r="Q25" t="s">
        <v>31</v>
      </c>
      <c r="R25" t="s">
        <v>67</v>
      </c>
      <c r="S25" t="s">
        <v>42</v>
      </c>
      <c r="T25" t="s">
        <v>62</v>
      </c>
      <c r="U25" t="s">
        <v>34</v>
      </c>
      <c r="V25" t="s">
        <v>51</v>
      </c>
      <c r="W25" t="s">
        <v>59</v>
      </c>
      <c r="X25" t="s">
        <v>45</v>
      </c>
    </row>
    <row r="26" spans="1:24" x14ac:dyDescent="0.3">
      <c r="A26" t="s">
        <v>24</v>
      </c>
      <c r="B26">
        <v>26</v>
      </c>
      <c r="C26" t="s">
        <v>25</v>
      </c>
      <c r="D26">
        <v>2</v>
      </c>
      <c r="E26">
        <v>3</v>
      </c>
      <c r="F26">
        <v>7</v>
      </c>
      <c r="G26">
        <v>5</v>
      </c>
      <c r="H26">
        <v>4</v>
      </c>
      <c r="I26">
        <v>1</v>
      </c>
      <c r="J26">
        <v>6</v>
      </c>
      <c r="K26" t="s">
        <v>25</v>
      </c>
      <c r="L26" t="s">
        <v>26</v>
      </c>
      <c r="M26" t="s">
        <v>27</v>
      </c>
      <c r="N26" t="s">
        <v>28</v>
      </c>
      <c r="O26" t="s">
        <v>47</v>
      </c>
      <c r="P26" t="s">
        <v>30</v>
      </c>
      <c r="Q26" t="s">
        <v>61</v>
      </c>
      <c r="R26" t="s">
        <v>67</v>
      </c>
      <c r="S26" t="s">
        <v>33</v>
      </c>
      <c r="T26" t="s">
        <v>27</v>
      </c>
      <c r="U26" t="s">
        <v>34</v>
      </c>
      <c r="V26" t="s">
        <v>51</v>
      </c>
      <c r="W26" t="s">
        <v>59</v>
      </c>
      <c r="X26" t="s">
        <v>37</v>
      </c>
    </row>
    <row r="27" spans="1:24" x14ac:dyDescent="0.3">
      <c r="A27" t="s">
        <v>24</v>
      </c>
      <c r="B27">
        <v>32</v>
      </c>
      <c r="C27" t="s">
        <v>25</v>
      </c>
      <c r="D27">
        <v>3</v>
      </c>
      <c r="E27">
        <v>4</v>
      </c>
      <c r="F27">
        <v>7</v>
      </c>
      <c r="G27">
        <v>5</v>
      </c>
      <c r="H27">
        <v>1</v>
      </c>
      <c r="I27">
        <v>2</v>
      </c>
      <c r="J27">
        <v>6</v>
      </c>
      <c r="K27" t="s">
        <v>25</v>
      </c>
      <c r="L27" t="s">
        <v>60</v>
      </c>
      <c r="M27" t="s">
        <v>63</v>
      </c>
      <c r="N27" t="s">
        <v>28</v>
      </c>
      <c r="O27" t="s">
        <v>47</v>
      </c>
      <c r="P27" t="s">
        <v>30</v>
      </c>
      <c r="Q27" t="s">
        <v>31</v>
      </c>
      <c r="R27" t="s">
        <v>32</v>
      </c>
      <c r="S27" t="s">
        <v>33</v>
      </c>
      <c r="T27" t="s">
        <v>27</v>
      </c>
      <c r="U27" t="s">
        <v>34</v>
      </c>
      <c r="V27" t="s">
        <v>51</v>
      </c>
      <c r="W27" t="s">
        <v>36</v>
      </c>
      <c r="X27" t="s">
        <v>45</v>
      </c>
    </row>
    <row r="28" spans="1:24" x14ac:dyDescent="0.3">
      <c r="A28" t="s">
        <v>46</v>
      </c>
      <c r="B28">
        <v>26</v>
      </c>
      <c r="C28" t="s">
        <v>25</v>
      </c>
      <c r="D28">
        <v>3</v>
      </c>
      <c r="E28">
        <v>4</v>
      </c>
      <c r="F28">
        <v>6</v>
      </c>
      <c r="G28">
        <v>5</v>
      </c>
      <c r="H28">
        <v>1</v>
      </c>
      <c r="I28">
        <v>2</v>
      </c>
      <c r="J28">
        <v>7</v>
      </c>
      <c r="K28" t="s">
        <v>25</v>
      </c>
      <c r="L28" t="s">
        <v>26</v>
      </c>
      <c r="M28" t="s">
        <v>27</v>
      </c>
      <c r="N28" t="s">
        <v>28</v>
      </c>
      <c r="O28" t="s">
        <v>47</v>
      </c>
      <c r="P28" t="s">
        <v>30</v>
      </c>
      <c r="Q28" t="s">
        <v>31</v>
      </c>
      <c r="R28" t="s">
        <v>32</v>
      </c>
      <c r="S28" t="s">
        <v>33</v>
      </c>
      <c r="T28" t="s">
        <v>43</v>
      </c>
      <c r="U28" t="s">
        <v>56</v>
      </c>
      <c r="V28" t="s">
        <v>51</v>
      </c>
      <c r="W28" t="s">
        <v>36</v>
      </c>
      <c r="X28" t="s">
        <v>45</v>
      </c>
    </row>
    <row r="29" spans="1:24" x14ac:dyDescent="0.3">
      <c r="A29" t="s">
        <v>46</v>
      </c>
      <c r="B29">
        <v>31</v>
      </c>
      <c r="C29" t="s">
        <v>25</v>
      </c>
      <c r="D29">
        <v>2</v>
      </c>
      <c r="E29">
        <v>3</v>
      </c>
      <c r="F29">
        <v>7</v>
      </c>
      <c r="G29">
        <v>6</v>
      </c>
      <c r="H29">
        <v>4</v>
      </c>
      <c r="I29">
        <v>1</v>
      </c>
      <c r="J29">
        <v>5</v>
      </c>
      <c r="K29" t="s">
        <v>25</v>
      </c>
      <c r="L29" t="s">
        <v>60</v>
      </c>
      <c r="M29" t="s">
        <v>63</v>
      </c>
      <c r="N29" t="s">
        <v>64</v>
      </c>
      <c r="O29" t="s">
        <v>29</v>
      </c>
      <c r="P29" t="s">
        <v>30</v>
      </c>
      <c r="Q29" t="s">
        <v>31</v>
      </c>
      <c r="R29" t="s">
        <v>65</v>
      </c>
      <c r="S29" t="s">
        <v>42</v>
      </c>
      <c r="T29" t="s">
        <v>27</v>
      </c>
      <c r="U29" t="s">
        <v>56</v>
      </c>
      <c r="V29" t="s">
        <v>35</v>
      </c>
      <c r="W29" t="s">
        <v>36</v>
      </c>
      <c r="X29" t="s">
        <v>52</v>
      </c>
    </row>
    <row r="30" spans="1:24" x14ac:dyDescent="0.3">
      <c r="A30" t="s">
        <v>46</v>
      </c>
      <c r="B30">
        <v>29</v>
      </c>
      <c r="C30" t="s">
        <v>25</v>
      </c>
      <c r="D30">
        <v>2</v>
      </c>
      <c r="E30">
        <v>3</v>
      </c>
      <c r="F30">
        <v>6</v>
      </c>
      <c r="G30">
        <v>5</v>
      </c>
      <c r="H30">
        <v>1</v>
      </c>
      <c r="I30">
        <v>4</v>
      </c>
      <c r="J30">
        <v>7</v>
      </c>
      <c r="K30" t="s">
        <v>25</v>
      </c>
      <c r="L30" t="s">
        <v>26</v>
      </c>
      <c r="M30" t="s">
        <v>27</v>
      </c>
      <c r="N30" t="s">
        <v>28</v>
      </c>
      <c r="O30" t="s">
        <v>29</v>
      </c>
      <c r="P30" t="s">
        <v>30</v>
      </c>
      <c r="Q30" t="s">
        <v>31</v>
      </c>
      <c r="R30" t="s">
        <v>49</v>
      </c>
      <c r="S30" t="s">
        <v>33</v>
      </c>
      <c r="T30" t="s">
        <v>27</v>
      </c>
      <c r="U30" t="s">
        <v>34</v>
      </c>
      <c r="V30" t="s">
        <v>51</v>
      </c>
      <c r="W30" t="s">
        <v>59</v>
      </c>
      <c r="X30" t="s">
        <v>52</v>
      </c>
    </row>
    <row r="31" spans="1:24" x14ac:dyDescent="0.3">
      <c r="A31" t="s">
        <v>24</v>
      </c>
      <c r="B31">
        <v>34</v>
      </c>
      <c r="C31" t="s">
        <v>25</v>
      </c>
      <c r="D31">
        <v>5</v>
      </c>
      <c r="E31">
        <v>4</v>
      </c>
      <c r="F31">
        <v>3</v>
      </c>
      <c r="G31">
        <v>2</v>
      </c>
      <c r="H31">
        <v>7</v>
      </c>
      <c r="I31">
        <v>1</v>
      </c>
      <c r="J31">
        <v>6</v>
      </c>
      <c r="K31" t="s">
        <v>25</v>
      </c>
      <c r="L31" t="s">
        <v>26</v>
      </c>
      <c r="M31" t="s">
        <v>53</v>
      </c>
      <c r="N31" t="s">
        <v>26</v>
      </c>
      <c r="O31" t="s">
        <v>47</v>
      </c>
      <c r="P31" t="s">
        <v>30</v>
      </c>
      <c r="Q31" t="s">
        <v>55</v>
      </c>
      <c r="R31" t="s">
        <v>32</v>
      </c>
      <c r="S31" t="s">
        <v>33</v>
      </c>
      <c r="T31" t="s">
        <v>27</v>
      </c>
      <c r="U31" t="s">
        <v>50</v>
      </c>
      <c r="V31" t="s">
        <v>35</v>
      </c>
      <c r="W31" t="s">
        <v>36</v>
      </c>
      <c r="X31" t="s">
        <v>37</v>
      </c>
    </row>
    <row r="32" spans="1:24" x14ac:dyDescent="0.3">
      <c r="A32" t="s">
        <v>46</v>
      </c>
      <c r="B32">
        <v>27</v>
      </c>
      <c r="C32" t="s">
        <v>25</v>
      </c>
      <c r="D32">
        <v>4</v>
      </c>
      <c r="E32">
        <v>5</v>
      </c>
      <c r="F32">
        <v>1</v>
      </c>
      <c r="G32">
        <v>2</v>
      </c>
      <c r="H32">
        <v>7</v>
      </c>
      <c r="I32">
        <v>3</v>
      </c>
      <c r="J32">
        <v>6</v>
      </c>
      <c r="K32" t="s">
        <v>38</v>
      </c>
      <c r="L32" t="s">
        <v>26</v>
      </c>
      <c r="M32" t="s">
        <v>63</v>
      </c>
      <c r="N32" t="s">
        <v>28</v>
      </c>
      <c r="O32" t="s">
        <v>29</v>
      </c>
      <c r="P32" t="s">
        <v>30</v>
      </c>
      <c r="Q32" t="s">
        <v>55</v>
      </c>
      <c r="R32" t="s">
        <v>32</v>
      </c>
      <c r="S32" t="s">
        <v>66</v>
      </c>
      <c r="T32" t="s">
        <v>27</v>
      </c>
      <c r="U32" t="s">
        <v>50</v>
      </c>
      <c r="V32" t="s">
        <v>35</v>
      </c>
      <c r="W32" t="s">
        <v>36</v>
      </c>
      <c r="X32" t="s">
        <v>52</v>
      </c>
    </row>
    <row r="33" spans="1:24" x14ac:dyDescent="0.3">
      <c r="A33" t="s">
        <v>24</v>
      </c>
      <c r="B33">
        <v>31</v>
      </c>
      <c r="C33" t="s">
        <v>25</v>
      </c>
      <c r="D33">
        <v>2</v>
      </c>
      <c r="E33">
        <v>4</v>
      </c>
      <c r="F33">
        <v>7</v>
      </c>
      <c r="G33">
        <v>6</v>
      </c>
      <c r="H33">
        <v>3</v>
      </c>
      <c r="I33">
        <v>1</v>
      </c>
      <c r="J33">
        <v>5</v>
      </c>
      <c r="K33" t="s">
        <v>25</v>
      </c>
      <c r="L33" t="s">
        <v>26</v>
      </c>
      <c r="M33" t="s">
        <v>27</v>
      </c>
      <c r="N33" t="s">
        <v>28</v>
      </c>
      <c r="O33" t="s">
        <v>47</v>
      </c>
      <c r="P33" t="s">
        <v>30</v>
      </c>
      <c r="Q33" t="s">
        <v>31</v>
      </c>
      <c r="R33" t="s">
        <v>65</v>
      </c>
      <c r="S33" t="s">
        <v>33</v>
      </c>
      <c r="T33" t="s">
        <v>27</v>
      </c>
      <c r="U33" t="s">
        <v>34</v>
      </c>
      <c r="V33" t="s">
        <v>51</v>
      </c>
      <c r="W33" t="s">
        <v>36</v>
      </c>
      <c r="X33" t="s">
        <v>45</v>
      </c>
    </row>
    <row r="34" spans="1:24" x14ac:dyDescent="0.3">
      <c r="A34" t="s">
        <v>46</v>
      </c>
      <c r="B34">
        <v>27</v>
      </c>
      <c r="C34" t="s">
        <v>25</v>
      </c>
      <c r="D34">
        <v>2</v>
      </c>
      <c r="E34">
        <v>4</v>
      </c>
      <c r="F34">
        <v>7</v>
      </c>
      <c r="G34">
        <v>5</v>
      </c>
      <c r="H34">
        <v>1</v>
      </c>
      <c r="I34">
        <v>3</v>
      </c>
      <c r="J34">
        <v>6</v>
      </c>
      <c r="K34" t="s">
        <v>25</v>
      </c>
      <c r="L34" t="s">
        <v>26</v>
      </c>
      <c r="M34" t="s">
        <v>27</v>
      </c>
      <c r="N34" t="s">
        <v>28</v>
      </c>
      <c r="O34" t="s">
        <v>47</v>
      </c>
      <c r="P34" t="s">
        <v>30</v>
      </c>
      <c r="Q34" t="s">
        <v>61</v>
      </c>
      <c r="R34" t="s">
        <v>49</v>
      </c>
      <c r="S34" t="s">
        <v>42</v>
      </c>
      <c r="T34" t="s">
        <v>27</v>
      </c>
      <c r="U34" t="s">
        <v>56</v>
      </c>
      <c r="V34" t="s">
        <v>51</v>
      </c>
      <c r="W34" t="s">
        <v>36</v>
      </c>
      <c r="X34" t="s">
        <v>37</v>
      </c>
    </row>
    <row r="35" spans="1:24" x14ac:dyDescent="0.3">
      <c r="A35" t="s">
        <v>46</v>
      </c>
      <c r="B35">
        <v>26</v>
      </c>
      <c r="C35" t="s">
        <v>25</v>
      </c>
      <c r="D35">
        <v>2</v>
      </c>
      <c r="E35">
        <v>3</v>
      </c>
      <c r="F35">
        <v>6</v>
      </c>
      <c r="G35">
        <v>4</v>
      </c>
      <c r="H35">
        <v>1</v>
      </c>
      <c r="I35">
        <v>5</v>
      </c>
      <c r="J35">
        <v>7</v>
      </c>
      <c r="K35" t="s">
        <v>25</v>
      </c>
      <c r="L35" t="s">
        <v>26</v>
      </c>
      <c r="M35" t="s">
        <v>27</v>
      </c>
      <c r="N35" t="s">
        <v>26</v>
      </c>
      <c r="O35" t="s">
        <v>29</v>
      </c>
      <c r="P35" t="s">
        <v>30</v>
      </c>
      <c r="Q35" t="s">
        <v>31</v>
      </c>
      <c r="R35" t="s">
        <v>65</v>
      </c>
      <c r="S35" t="s">
        <v>66</v>
      </c>
      <c r="T35" t="s">
        <v>43</v>
      </c>
      <c r="U35" t="s">
        <v>34</v>
      </c>
      <c r="V35" t="s">
        <v>35</v>
      </c>
      <c r="W35" t="s">
        <v>59</v>
      </c>
      <c r="X35" t="s">
        <v>37</v>
      </c>
    </row>
    <row r="36" spans="1:24" x14ac:dyDescent="0.3">
      <c r="A36" t="s">
        <v>46</v>
      </c>
      <c r="B36">
        <v>27</v>
      </c>
      <c r="C36" t="s">
        <v>25</v>
      </c>
      <c r="D36">
        <v>2</v>
      </c>
      <c r="E36">
        <v>3</v>
      </c>
      <c r="F36">
        <v>6</v>
      </c>
      <c r="G36">
        <v>5</v>
      </c>
      <c r="H36">
        <v>4</v>
      </c>
      <c r="I36">
        <v>1</v>
      </c>
      <c r="J36">
        <v>7</v>
      </c>
      <c r="K36" t="s">
        <v>25</v>
      </c>
      <c r="L36" t="s">
        <v>26</v>
      </c>
      <c r="M36" t="s">
        <v>27</v>
      </c>
      <c r="N36" t="s">
        <v>28</v>
      </c>
      <c r="O36" t="s">
        <v>29</v>
      </c>
      <c r="P36" t="s">
        <v>41</v>
      </c>
      <c r="Q36" t="s">
        <v>31</v>
      </c>
      <c r="R36" t="s">
        <v>32</v>
      </c>
      <c r="S36" t="s">
        <v>42</v>
      </c>
      <c r="T36" t="s">
        <v>27</v>
      </c>
      <c r="U36" t="s">
        <v>34</v>
      </c>
      <c r="V36" t="s">
        <v>35</v>
      </c>
      <c r="W36" t="s">
        <v>36</v>
      </c>
      <c r="X36" t="s">
        <v>45</v>
      </c>
    </row>
    <row r="37" spans="1:24" x14ac:dyDescent="0.3">
      <c r="A37" t="s">
        <v>46</v>
      </c>
      <c r="B37">
        <v>30</v>
      </c>
      <c r="C37" t="s">
        <v>25</v>
      </c>
      <c r="D37">
        <v>1</v>
      </c>
      <c r="E37">
        <v>4</v>
      </c>
      <c r="F37">
        <v>6</v>
      </c>
      <c r="G37">
        <v>5</v>
      </c>
      <c r="H37">
        <v>3</v>
      </c>
      <c r="I37">
        <v>2</v>
      </c>
      <c r="J37">
        <v>7</v>
      </c>
      <c r="K37" t="s">
        <v>25</v>
      </c>
      <c r="L37" t="s">
        <v>60</v>
      </c>
      <c r="M37" t="s">
        <v>63</v>
      </c>
      <c r="N37" t="s">
        <v>28</v>
      </c>
      <c r="O37" t="s">
        <v>47</v>
      </c>
      <c r="P37" t="s">
        <v>30</v>
      </c>
      <c r="Q37" t="s">
        <v>31</v>
      </c>
      <c r="R37" t="s">
        <v>65</v>
      </c>
      <c r="S37" t="s">
        <v>42</v>
      </c>
      <c r="T37" t="s">
        <v>27</v>
      </c>
      <c r="U37" t="s">
        <v>34</v>
      </c>
      <c r="V37" t="s">
        <v>51</v>
      </c>
      <c r="W37" t="s">
        <v>36</v>
      </c>
      <c r="X37" t="s">
        <v>45</v>
      </c>
    </row>
    <row r="38" spans="1:24" x14ac:dyDescent="0.3">
      <c r="A38" t="s">
        <v>46</v>
      </c>
      <c r="B38">
        <v>30</v>
      </c>
      <c r="C38" t="s">
        <v>25</v>
      </c>
      <c r="D38">
        <v>2</v>
      </c>
      <c r="E38">
        <v>4</v>
      </c>
      <c r="F38">
        <v>7</v>
      </c>
      <c r="G38">
        <v>5</v>
      </c>
      <c r="H38">
        <v>1</v>
      </c>
      <c r="I38">
        <v>3</v>
      </c>
      <c r="J38">
        <v>6</v>
      </c>
      <c r="K38" t="s">
        <v>25</v>
      </c>
      <c r="L38" t="s">
        <v>26</v>
      </c>
      <c r="M38" t="s">
        <v>27</v>
      </c>
      <c r="N38" t="s">
        <v>28</v>
      </c>
      <c r="O38" t="s">
        <v>29</v>
      </c>
      <c r="P38" t="s">
        <v>30</v>
      </c>
      <c r="Q38" t="s">
        <v>31</v>
      </c>
      <c r="R38" t="s">
        <v>49</v>
      </c>
      <c r="S38" t="s">
        <v>33</v>
      </c>
      <c r="T38" t="s">
        <v>27</v>
      </c>
      <c r="U38" t="s">
        <v>34</v>
      </c>
      <c r="V38" t="s">
        <v>51</v>
      </c>
      <c r="W38" t="s">
        <v>59</v>
      </c>
      <c r="X38" t="s">
        <v>37</v>
      </c>
    </row>
    <row r="39" spans="1:24" x14ac:dyDescent="0.3">
      <c r="A39" t="s">
        <v>46</v>
      </c>
      <c r="B39">
        <v>25</v>
      </c>
      <c r="C39" t="s">
        <v>25</v>
      </c>
      <c r="D39">
        <v>5</v>
      </c>
      <c r="E39">
        <v>4</v>
      </c>
      <c r="F39">
        <v>7</v>
      </c>
      <c r="G39">
        <v>6</v>
      </c>
      <c r="H39">
        <v>1</v>
      </c>
      <c r="I39">
        <v>2</v>
      </c>
      <c r="J39">
        <v>3</v>
      </c>
      <c r="K39" t="s">
        <v>25</v>
      </c>
      <c r="L39" t="s">
        <v>60</v>
      </c>
      <c r="M39" t="s">
        <v>63</v>
      </c>
      <c r="N39" t="s">
        <v>64</v>
      </c>
      <c r="O39" t="s">
        <v>47</v>
      </c>
      <c r="P39" t="s">
        <v>30</v>
      </c>
      <c r="Q39" t="s">
        <v>61</v>
      </c>
      <c r="R39" t="s">
        <v>67</v>
      </c>
      <c r="S39" t="s">
        <v>42</v>
      </c>
      <c r="T39" t="s">
        <v>27</v>
      </c>
      <c r="U39" t="s">
        <v>34</v>
      </c>
      <c r="V39" t="s">
        <v>35</v>
      </c>
      <c r="W39" t="s">
        <v>36</v>
      </c>
      <c r="X39" t="s">
        <v>45</v>
      </c>
    </row>
    <row r="40" spans="1:24" x14ac:dyDescent="0.3">
      <c r="A40" t="s">
        <v>46</v>
      </c>
      <c r="B40">
        <v>31</v>
      </c>
      <c r="C40" t="s">
        <v>25</v>
      </c>
      <c r="D40">
        <v>2</v>
      </c>
      <c r="E40">
        <v>4</v>
      </c>
      <c r="F40">
        <v>7</v>
      </c>
      <c r="G40">
        <v>5</v>
      </c>
      <c r="H40">
        <v>3</v>
      </c>
      <c r="I40">
        <v>1</v>
      </c>
      <c r="J40">
        <v>6</v>
      </c>
      <c r="K40" t="s">
        <v>25</v>
      </c>
      <c r="L40" t="s">
        <v>60</v>
      </c>
      <c r="M40" t="s">
        <v>63</v>
      </c>
      <c r="N40" t="s">
        <v>28</v>
      </c>
      <c r="O40" t="s">
        <v>29</v>
      </c>
      <c r="P40" t="s">
        <v>41</v>
      </c>
      <c r="Q40" t="s">
        <v>31</v>
      </c>
      <c r="R40" t="s">
        <v>49</v>
      </c>
      <c r="S40" t="s">
        <v>42</v>
      </c>
      <c r="T40" t="s">
        <v>43</v>
      </c>
      <c r="U40" t="s">
        <v>56</v>
      </c>
      <c r="V40" t="s">
        <v>51</v>
      </c>
      <c r="W40" t="s">
        <v>36</v>
      </c>
      <c r="X40" t="s">
        <v>37</v>
      </c>
    </row>
    <row r="41" spans="1:24" x14ac:dyDescent="0.3">
      <c r="A41" t="s">
        <v>46</v>
      </c>
      <c r="B41">
        <v>29</v>
      </c>
      <c r="C41" t="s">
        <v>25</v>
      </c>
      <c r="D41">
        <v>4</v>
      </c>
      <c r="E41">
        <v>3</v>
      </c>
      <c r="F41">
        <v>5</v>
      </c>
      <c r="G41">
        <v>7</v>
      </c>
      <c r="H41">
        <v>2</v>
      </c>
      <c r="I41">
        <v>1</v>
      </c>
      <c r="J41">
        <v>6</v>
      </c>
      <c r="K41" t="s">
        <v>25</v>
      </c>
      <c r="L41" t="s">
        <v>26</v>
      </c>
      <c r="M41" t="s">
        <v>27</v>
      </c>
      <c r="N41" t="s">
        <v>28</v>
      </c>
      <c r="O41" t="s">
        <v>47</v>
      </c>
      <c r="P41" t="s">
        <v>30</v>
      </c>
      <c r="Q41" t="s">
        <v>31</v>
      </c>
      <c r="R41" t="s">
        <v>65</v>
      </c>
      <c r="S41" t="s">
        <v>33</v>
      </c>
      <c r="T41" t="s">
        <v>43</v>
      </c>
      <c r="U41" t="s">
        <v>34</v>
      </c>
      <c r="V41" t="s">
        <v>35</v>
      </c>
      <c r="W41" t="s">
        <v>36</v>
      </c>
      <c r="X41" t="s">
        <v>45</v>
      </c>
    </row>
  </sheetData>
  <pageMargins left="0.7" right="0.7" top="0.75" bottom="0.75" header="0.3" footer="0.3"/>
  <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5DFF9-1883-4394-BB67-D68D2A9F5CAB}">
  <dimension ref="A1:AF41"/>
  <sheetViews>
    <sheetView topLeftCell="Z1" zoomScale="68" zoomScaleNormal="68" workbookViewId="0">
      <selection activeCell="AN3" sqref="AN3"/>
    </sheetView>
  </sheetViews>
  <sheetFormatPr defaultRowHeight="14.4" x14ac:dyDescent="0.3"/>
  <cols>
    <col min="2" max="2" width="18.33203125" bestFit="1" customWidth="1"/>
    <col min="4" max="4" width="6.109375" bestFit="1" customWidth="1"/>
    <col min="5" max="5" width="20.44140625" bestFit="1" customWidth="1"/>
    <col min="6" max="6" width="14.6640625" bestFit="1" customWidth="1"/>
    <col min="7" max="7" width="15" bestFit="1" customWidth="1"/>
    <col min="8" max="8" width="12.77734375" bestFit="1" customWidth="1"/>
    <col min="9" max="9" width="19.5546875" bestFit="1" customWidth="1"/>
    <col min="10" max="10" width="16" bestFit="1" customWidth="1"/>
    <col min="12" max="12" width="7.21875" bestFit="1" customWidth="1"/>
    <col min="13" max="13" width="15.33203125" bestFit="1" customWidth="1"/>
    <col min="14" max="14" width="12.6640625" bestFit="1" customWidth="1"/>
    <col min="15" max="15" width="17.44140625" bestFit="1" customWidth="1"/>
    <col min="16" max="16" width="15.21875" bestFit="1" customWidth="1"/>
    <col min="17" max="17" width="15.109375" bestFit="1" customWidth="1"/>
    <col min="18" max="18" width="15.44140625" bestFit="1" customWidth="1"/>
    <col min="20" max="20" width="16.21875" bestFit="1" customWidth="1"/>
    <col min="21" max="21" width="18.44140625" bestFit="1" customWidth="1"/>
    <col min="22" max="22" width="31.21875" bestFit="1" customWidth="1"/>
    <col min="23" max="23" width="17.44140625" bestFit="1" customWidth="1"/>
    <col min="24" max="24" width="16.88671875" bestFit="1" customWidth="1"/>
    <col min="25" max="25" width="15.109375" bestFit="1" customWidth="1"/>
    <col min="26" max="26" width="16.109375" bestFit="1" customWidth="1"/>
    <col min="27" max="27" width="23.5546875" bestFit="1" customWidth="1"/>
    <col min="29" max="29" width="15.6640625" bestFit="1" customWidth="1"/>
    <col min="30" max="30" width="12" bestFit="1" customWidth="1"/>
    <col min="31" max="31" width="16.33203125" bestFit="1" customWidth="1"/>
    <col min="32" max="32" width="14.44140625" bestFit="1" customWidth="1"/>
  </cols>
  <sheetData>
    <row r="1" spans="1:32" x14ac:dyDescent="0.3">
      <c r="A1" t="s">
        <v>0</v>
      </c>
      <c r="B1" t="s">
        <v>89</v>
      </c>
      <c r="C1" t="s">
        <v>90</v>
      </c>
      <c r="D1" t="s">
        <v>1</v>
      </c>
      <c r="E1" t="s">
        <v>2</v>
      </c>
      <c r="F1" t="s">
        <v>3</v>
      </c>
      <c r="G1" t="s">
        <v>4</v>
      </c>
      <c r="H1" t="s">
        <v>5</v>
      </c>
      <c r="I1" t="s">
        <v>6</v>
      </c>
      <c r="J1" t="s">
        <v>7</v>
      </c>
      <c r="K1" t="s">
        <v>8</v>
      </c>
      <c r="L1" t="s">
        <v>9</v>
      </c>
      <c r="M1" t="s">
        <v>10</v>
      </c>
      <c r="N1" t="s">
        <v>11</v>
      </c>
      <c r="O1" t="s">
        <v>12</v>
      </c>
      <c r="P1" t="s">
        <v>13</v>
      </c>
      <c r="Q1" t="s">
        <v>14</v>
      </c>
      <c r="R1" t="s">
        <v>15</v>
      </c>
      <c r="S1" t="s">
        <v>16</v>
      </c>
      <c r="T1" t="s">
        <v>91</v>
      </c>
      <c r="U1" t="s">
        <v>17</v>
      </c>
      <c r="V1" t="s">
        <v>18</v>
      </c>
      <c r="W1" t="s">
        <v>19</v>
      </c>
      <c r="X1" t="s">
        <v>20</v>
      </c>
      <c r="Y1" t="s">
        <v>21</v>
      </c>
      <c r="Z1" t="s">
        <v>22</v>
      </c>
      <c r="AA1" t="s">
        <v>23</v>
      </c>
      <c r="AC1" s="3"/>
      <c r="AD1" s="3" t="s">
        <v>1</v>
      </c>
      <c r="AE1" s="3" t="s">
        <v>89</v>
      </c>
      <c r="AF1" s="3" t="s">
        <v>90</v>
      </c>
    </row>
    <row r="2" spans="1:32" x14ac:dyDescent="0.3">
      <c r="A2" t="s">
        <v>24</v>
      </c>
      <c r="B2">
        <f>IF(Q2="Less than 1 year",0.5,IF(Q2="More than 5 years",6,(LEFT(Q2,1)+MID(Q2,3,1))/2))</f>
        <v>2</v>
      </c>
      <c r="C2">
        <f>IF(S2="10%-20%",15,IF(S2="20%-30%",25,IF(S2="30%-40%",35,"")))</f>
        <v>25</v>
      </c>
      <c r="D2">
        <v>34</v>
      </c>
      <c r="E2" t="s">
        <v>25</v>
      </c>
      <c r="F2">
        <v>1</v>
      </c>
      <c r="G2">
        <v>2</v>
      </c>
      <c r="H2">
        <v>5</v>
      </c>
      <c r="I2">
        <v>3</v>
      </c>
      <c r="J2">
        <v>7</v>
      </c>
      <c r="K2">
        <v>6</v>
      </c>
      <c r="L2">
        <v>4</v>
      </c>
      <c r="M2" t="s">
        <v>25</v>
      </c>
      <c r="N2" t="s">
        <v>26</v>
      </c>
      <c r="O2" t="s">
        <v>27</v>
      </c>
      <c r="P2" t="s">
        <v>28</v>
      </c>
      <c r="Q2" t="s">
        <v>29</v>
      </c>
      <c r="R2" t="s">
        <v>30</v>
      </c>
      <c r="S2" t="s">
        <v>31</v>
      </c>
      <c r="T2">
        <f>IF(S2="10%-20%",15,IF(S2="20%-30%",25,IF(S2="30"%-40%,35)))</f>
        <v>25</v>
      </c>
      <c r="U2" t="s">
        <v>32</v>
      </c>
      <c r="V2" t="s">
        <v>33</v>
      </c>
      <c r="W2" t="s">
        <v>27</v>
      </c>
      <c r="X2" t="s">
        <v>34</v>
      </c>
      <c r="Y2" t="s">
        <v>35</v>
      </c>
      <c r="Z2" t="s">
        <v>36</v>
      </c>
      <c r="AA2" t="s">
        <v>37</v>
      </c>
      <c r="AC2" s="4" t="s">
        <v>1</v>
      </c>
      <c r="AD2" s="4">
        <v>1</v>
      </c>
      <c r="AE2" s="4"/>
      <c r="AF2" s="4"/>
    </row>
    <row r="3" spans="1:32" x14ac:dyDescent="0.3">
      <c r="A3" t="s">
        <v>24</v>
      </c>
      <c r="B3">
        <f t="shared" ref="B3:B41" si="0">IF(Q3="Less than 1 year",0.5,IF(Q3="More than 5 years",6,(LEFT(Q3,1)+MID(Q3,3,1))/2))</f>
        <v>6</v>
      </c>
      <c r="C3">
        <f t="shared" ref="C3:C41" si="1">IF(S3="10%-20%",15,IF(S3="20%-30%",25,IF(S3="30%-40%",35,"")))</f>
        <v>25</v>
      </c>
      <c r="D3">
        <v>23</v>
      </c>
      <c r="E3" t="s">
        <v>25</v>
      </c>
      <c r="F3">
        <v>4</v>
      </c>
      <c r="G3">
        <v>3</v>
      </c>
      <c r="H3">
        <v>2</v>
      </c>
      <c r="I3">
        <v>1</v>
      </c>
      <c r="J3">
        <v>5</v>
      </c>
      <c r="K3">
        <v>6</v>
      </c>
      <c r="L3">
        <v>7</v>
      </c>
      <c r="M3" t="s">
        <v>38</v>
      </c>
      <c r="N3" t="s">
        <v>39</v>
      </c>
      <c r="O3" t="s">
        <v>27</v>
      </c>
      <c r="P3" t="s">
        <v>28</v>
      </c>
      <c r="Q3" t="s">
        <v>40</v>
      </c>
      <c r="R3" t="s">
        <v>41</v>
      </c>
      <c r="S3" t="s">
        <v>31</v>
      </c>
      <c r="T3">
        <f>IF(S3="10%-20%",15,IF(S3="20%-30%",25,IF(S3="30"%-40%,35)))</f>
        <v>25</v>
      </c>
      <c r="U3" t="s">
        <v>32</v>
      </c>
      <c r="V3" t="s">
        <v>42</v>
      </c>
      <c r="W3" t="s">
        <v>43</v>
      </c>
      <c r="X3" t="s">
        <v>34</v>
      </c>
      <c r="Y3" t="s">
        <v>35</v>
      </c>
      <c r="Z3" t="s">
        <v>44</v>
      </c>
      <c r="AA3" t="s">
        <v>45</v>
      </c>
      <c r="AC3" s="4" t="s">
        <v>89</v>
      </c>
      <c r="AD3" s="4">
        <v>5.1755716569689851E-2</v>
      </c>
      <c r="AE3" s="4">
        <v>1</v>
      </c>
      <c r="AF3" s="4"/>
    </row>
    <row r="4" spans="1:32" ht="15" thickBot="1" x14ac:dyDescent="0.35">
      <c r="A4" t="s">
        <v>46</v>
      </c>
      <c r="B4">
        <f t="shared" si="0"/>
        <v>4</v>
      </c>
      <c r="C4">
        <f t="shared" si="1"/>
        <v>25</v>
      </c>
      <c r="D4">
        <v>30</v>
      </c>
      <c r="E4" t="s">
        <v>25</v>
      </c>
      <c r="F4">
        <v>3</v>
      </c>
      <c r="G4">
        <v>6</v>
      </c>
      <c r="H4">
        <v>4</v>
      </c>
      <c r="I4">
        <v>2</v>
      </c>
      <c r="J4">
        <v>5</v>
      </c>
      <c r="K4">
        <v>1</v>
      </c>
      <c r="L4">
        <v>7</v>
      </c>
      <c r="M4" t="s">
        <v>25</v>
      </c>
      <c r="N4" t="s">
        <v>26</v>
      </c>
      <c r="O4" t="s">
        <v>27</v>
      </c>
      <c r="P4" t="s">
        <v>28</v>
      </c>
      <c r="Q4" t="s">
        <v>47</v>
      </c>
      <c r="R4" t="s">
        <v>48</v>
      </c>
      <c r="S4" t="s">
        <v>31</v>
      </c>
      <c r="T4">
        <f>IF(S4="10%-20%",15,IF(S4="20%-30%",25,IF(S4="30%-40%",35,"")))</f>
        <v>25</v>
      </c>
      <c r="U4" t="s">
        <v>49</v>
      </c>
      <c r="V4" t="s">
        <v>33</v>
      </c>
      <c r="W4" t="s">
        <v>27</v>
      </c>
      <c r="X4" t="s">
        <v>50</v>
      </c>
      <c r="Y4" t="s">
        <v>51</v>
      </c>
      <c r="Z4" t="s">
        <v>36</v>
      </c>
      <c r="AA4" t="s">
        <v>52</v>
      </c>
      <c r="AC4" s="5" t="s">
        <v>90</v>
      </c>
      <c r="AD4" s="5">
        <v>-8.9605620240757883E-2</v>
      </c>
      <c r="AE4" s="5">
        <v>0.25822264315920551</v>
      </c>
      <c r="AF4" s="5">
        <v>1</v>
      </c>
    </row>
    <row r="5" spans="1:32" x14ac:dyDescent="0.3">
      <c r="A5" t="s">
        <v>46</v>
      </c>
      <c r="B5">
        <f t="shared" si="0"/>
        <v>0.5</v>
      </c>
      <c r="C5">
        <f t="shared" si="1"/>
        <v>15</v>
      </c>
      <c r="D5">
        <v>22</v>
      </c>
      <c r="E5" t="s">
        <v>25</v>
      </c>
      <c r="F5">
        <v>2</v>
      </c>
      <c r="G5">
        <v>1</v>
      </c>
      <c r="H5">
        <v>3</v>
      </c>
      <c r="I5">
        <v>7</v>
      </c>
      <c r="J5">
        <v>6</v>
      </c>
      <c r="K5">
        <v>4</v>
      </c>
      <c r="L5">
        <v>5</v>
      </c>
      <c r="M5" t="s">
        <v>25</v>
      </c>
      <c r="N5" t="s">
        <v>26</v>
      </c>
      <c r="O5" t="s">
        <v>53</v>
      </c>
      <c r="P5" t="s">
        <v>28</v>
      </c>
      <c r="Q5" t="s">
        <v>54</v>
      </c>
      <c r="R5" t="s">
        <v>48</v>
      </c>
      <c r="S5" t="s">
        <v>55</v>
      </c>
      <c r="T5">
        <f t="shared" ref="T5:T41" si="2">IF(S5="10%-20%",15,IF(S5="20%-30%",25,IF(S5="30%-40%",35,"")))</f>
        <v>15</v>
      </c>
      <c r="U5" t="s">
        <v>49</v>
      </c>
      <c r="V5" t="s">
        <v>33</v>
      </c>
      <c r="W5" t="s">
        <v>43</v>
      </c>
      <c r="X5" t="s">
        <v>56</v>
      </c>
      <c r="Y5" t="s">
        <v>57</v>
      </c>
      <c r="Z5" t="s">
        <v>44</v>
      </c>
      <c r="AA5" t="s">
        <v>58</v>
      </c>
    </row>
    <row r="6" spans="1:32" x14ac:dyDescent="0.3">
      <c r="A6" t="s">
        <v>24</v>
      </c>
      <c r="B6">
        <f t="shared" si="0"/>
        <v>0.5</v>
      </c>
      <c r="C6">
        <f t="shared" si="1"/>
        <v>25</v>
      </c>
      <c r="D6">
        <v>24</v>
      </c>
      <c r="E6" t="s">
        <v>38</v>
      </c>
      <c r="F6">
        <v>2</v>
      </c>
      <c r="G6">
        <v>1</v>
      </c>
      <c r="H6">
        <v>3</v>
      </c>
      <c r="I6">
        <v>6</v>
      </c>
      <c r="J6">
        <v>4</v>
      </c>
      <c r="K6">
        <v>5</v>
      </c>
      <c r="L6">
        <v>7</v>
      </c>
      <c r="M6" t="s">
        <v>38</v>
      </c>
      <c r="N6" t="s">
        <v>26</v>
      </c>
      <c r="O6" t="s">
        <v>53</v>
      </c>
      <c r="P6" t="s">
        <v>28</v>
      </c>
      <c r="Q6" t="s">
        <v>54</v>
      </c>
      <c r="R6" t="s">
        <v>48</v>
      </c>
      <c r="S6" t="s">
        <v>31</v>
      </c>
      <c r="T6">
        <f t="shared" si="2"/>
        <v>25</v>
      </c>
      <c r="U6" t="s">
        <v>49</v>
      </c>
      <c r="V6" t="s">
        <v>33</v>
      </c>
      <c r="W6" t="s">
        <v>27</v>
      </c>
      <c r="X6" t="s">
        <v>34</v>
      </c>
      <c r="Y6" t="s">
        <v>35</v>
      </c>
      <c r="Z6" t="s">
        <v>59</v>
      </c>
      <c r="AA6" t="s">
        <v>58</v>
      </c>
    </row>
    <row r="7" spans="1:32" x14ac:dyDescent="0.3">
      <c r="A7" t="s">
        <v>24</v>
      </c>
      <c r="B7">
        <f t="shared" si="0"/>
        <v>2</v>
      </c>
      <c r="C7">
        <f t="shared" si="1"/>
        <v>35</v>
      </c>
      <c r="D7">
        <v>24</v>
      </c>
      <c r="E7" t="s">
        <v>38</v>
      </c>
      <c r="F7">
        <v>7</v>
      </c>
      <c r="G7">
        <v>5</v>
      </c>
      <c r="H7">
        <v>4</v>
      </c>
      <c r="I7">
        <v>6</v>
      </c>
      <c r="J7">
        <v>3</v>
      </c>
      <c r="K7">
        <v>1</v>
      </c>
      <c r="L7">
        <v>2</v>
      </c>
      <c r="M7" t="s">
        <v>38</v>
      </c>
      <c r="N7" t="s">
        <v>60</v>
      </c>
      <c r="O7" t="s">
        <v>27</v>
      </c>
      <c r="P7" t="s">
        <v>28</v>
      </c>
      <c r="Q7" t="s">
        <v>29</v>
      </c>
      <c r="R7" t="s">
        <v>48</v>
      </c>
      <c r="S7" t="s">
        <v>61</v>
      </c>
      <c r="T7">
        <f t="shared" si="2"/>
        <v>35</v>
      </c>
      <c r="U7" t="s">
        <v>32</v>
      </c>
      <c r="V7" t="s">
        <v>33</v>
      </c>
      <c r="W7" t="s">
        <v>62</v>
      </c>
      <c r="X7" t="s">
        <v>56</v>
      </c>
      <c r="Y7" t="s">
        <v>35</v>
      </c>
      <c r="Z7" t="s">
        <v>59</v>
      </c>
      <c r="AA7" t="s">
        <v>58</v>
      </c>
    </row>
    <row r="8" spans="1:32" x14ac:dyDescent="0.3">
      <c r="A8" t="s">
        <v>24</v>
      </c>
      <c r="B8">
        <f t="shared" si="0"/>
        <v>4</v>
      </c>
      <c r="C8">
        <f t="shared" si="1"/>
        <v>25</v>
      </c>
      <c r="D8">
        <v>27</v>
      </c>
      <c r="E8" t="s">
        <v>25</v>
      </c>
      <c r="F8">
        <v>3</v>
      </c>
      <c r="G8">
        <v>6</v>
      </c>
      <c r="H8">
        <v>4</v>
      </c>
      <c r="I8">
        <v>2</v>
      </c>
      <c r="J8">
        <v>5</v>
      </c>
      <c r="K8">
        <v>1</v>
      </c>
      <c r="L8">
        <v>7</v>
      </c>
      <c r="M8" t="s">
        <v>25</v>
      </c>
      <c r="N8" t="s">
        <v>26</v>
      </c>
      <c r="O8" t="s">
        <v>27</v>
      </c>
      <c r="P8" t="s">
        <v>28</v>
      </c>
      <c r="Q8" t="s">
        <v>47</v>
      </c>
      <c r="R8" t="s">
        <v>30</v>
      </c>
      <c r="S8" t="s">
        <v>31</v>
      </c>
      <c r="T8">
        <f t="shared" si="2"/>
        <v>25</v>
      </c>
      <c r="U8" t="s">
        <v>49</v>
      </c>
      <c r="V8" t="s">
        <v>33</v>
      </c>
      <c r="W8" t="s">
        <v>27</v>
      </c>
      <c r="X8" t="s">
        <v>34</v>
      </c>
      <c r="Y8" t="s">
        <v>51</v>
      </c>
      <c r="Z8" t="s">
        <v>44</v>
      </c>
      <c r="AA8" t="s">
        <v>45</v>
      </c>
    </row>
    <row r="9" spans="1:32" x14ac:dyDescent="0.3">
      <c r="A9" t="s">
        <v>46</v>
      </c>
      <c r="B9">
        <f t="shared" si="0"/>
        <v>4</v>
      </c>
      <c r="C9">
        <f t="shared" si="1"/>
        <v>25</v>
      </c>
      <c r="D9">
        <v>21</v>
      </c>
      <c r="E9" t="s">
        <v>25</v>
      </c>
      <c r="F9">
        <v>2</v>
      </c>
      <c r="G9">
        <v>3</v>
      </c>
      <c r="H9">
        <v>7</v>
      </c>
      <c r="I9">
        <v>4</v>
      </c>
      <c r="J9">
        <v>6</v>
      </c>
      <c r="K9">
        <v>1</v>
      </c>
      <c r="L9">
        <v>5</v>
      </c>
      <c r="M9" t="s">
        <v>25</v>
      </c>
      <c r="N9" t="s">
        <v>60</v>
      </c>
      <c r="O9" t="s">
        <v>27</v>
      </c>
      <c r="P9" t="s">
        <v>28</v>
      </c>
      <c r="Q9" t="s">
        <v>47</v>
      </c>
      <c r="R9" t="s">
        <v>30</v>
      </c>
      <c r="S9" t="s">
        <v>31</v>
      </c>
      <c r="T9">
        <f t="shared" si="2"/>
        <v>25</v>
      </c>
      <c r="U9" t="s">
        <v>32</v>
      </c>
      <c r="V9" t="s">
        <v>33</v>
      </c>
      <c r="W9" t="s">
        <v>27</v>
      </c>
      <c r="X9" t="s">
        <v>34</v>
      </c>
      <c r="Y9" t="s">
        <v>51</v>
      </c>
      <c r="Z9" t="s">
        <v>59</v>
      </c>
      <c r="AA9" t="s">
        <v>37</v>
      </c>
    </row>
    <row r="10" spans="1:32" x14ac:dyDescent="0.3">
      <c r="A10" t="s">
        <v>46</v>
      </c>
      <c r="B10">
        <f t="shared" si="0"/>
        <v>2</v>
      </c>
      <c r="C10">
        <f t="shared" si="1"/>
        <v>25</v>
      </c>
      <c r="D10">
        <v>35</v>
      </c>
      <c r="E10" t="s">
        <v>25</v>
      </c>
      <c r="F10">
        <v>2</v>
      </c>
      <c r="G10">
        <v>4</v>
      </c>
      <c r="H10">
        <v>7</v>
      </c>
      <c r="I10">
        <v>5</v>
      </c>
      <c r="J10">
        <v>3</v>
      </c>
      <c r="K10">
        <v>1</v>
      </c>
      <c r="L10">
        <v>6</v>
      </c>
      <c r="M10" t="s">
        <v>25</v>
      </c>
      <c r="N10" t="s">
        <v>26</v>
      </c>
      <c r="O10" t="s">
        <v>63</v>
      </c>
      <c r="P10" t="s">
        <v>64</v>
      </c>
      <c r="Q10" t="s">
        <v>29</v>
      </c>
      <c r="R10" t="s">
        <v>41</v>
      </c>
      <c r="S10" t="s">
        <v>31</v>
      </c>
      <c r="T10">
        <f t="shared" si="2"/>
        <v>25</v>
      </c>
      <c r="U10" t="s">
        <v>49</v>
      </c>
      <c r="V10" t="s">
        <v>33</v>
      </c>
      <c r="W10" t="s">
        <v>27</v>
      </c>
      <c r="X10" t="s">
        <v>56</v>
      </c>
      <c r="Y10" t="s">
        <v>35</v>
      </c>
      <c r="Z10" t="s">
        <v>36</v>
      </c>
      <c r="AA10" t="s">
        <v>52</v>
      </c>
    </row>
    <row r="11" spans="1:32" x14ac:dyDescent="0.3">
      <c r="A11" t="s">
        <v>46</v>
      </c>
      <c r="B11">
        <f t="shared" si="0"/>
        <v>4</v>
      </c>
      <c r="C11">
        <f t="shared" si="1"/>
        <v>35</v>
      </c>
      <c r="D11">
        <v>31</v>
      </c>
      <c r="E11" t="s">
        <v>25</v>
      </c>
      <c r="F11">
        <v>1</v>
      </c>
      <c r="G11">
        <v>3</v>
      </c>
      <c r="H11">
        <v>7</v>
      </c>
      <c r="I11">
        <v>4</v>
      </c>
      <c r="J11">
        <v>5</v>
      </c>
      <c r="K11">
        <v>2</v>
      </c>
      <c r="L11">
        <v>6</v>
      </c>
      <c r="M11" t="s">
        <v>25</v>
      </c>
      <c r="N11" t="s">
        <v>26</v>
      </c>
      <c r="O11" t="s">
        <v>27</v>
      </c>
      <c r="P11" t="s">
        <v>28</v>
      </c>
      <c r="Q11" t="s">
        <v>47</v>
      </c>
      <c r="R11" t="s">
        <v>30</v>
      </c>
      <c r="S11" t="s">
        <v>61</v>
      </c>
      <c r="T11">
        <f t="shared" si="2"/>
        <v>35</v>
      </c>
      <c r="U11" t="s">
        <v>65</v>
      </c>
      <c r="V11" t="s">
        <v>33</v>
      </c>
      <c r="W11" t="s">
        <v>27</v>
      </c>
      <c r="X11" t="s">
        <v>56</v>
      </c>
      <c r="Y11" t="s">
        <v>51</v>
      </c>
      <c r="Z11" t="s">
        <v>36</v>
      </c>
      <c r="AA11" t="s">
        <v>37</v>
      </c>
    </row>
    <row r="12" spans="1:32" x14ac:dyDescent="0.3">
      <c r="A12" t="s">
        <v>24</v>
      </c>
      <c r="B12">
        <f t="shared" si="0"/>
        <v>4</v>
      </c>
      <c r="C12">
        <f t="shared" si="1"/>
        <v>25</v>
      </c>
      <c r="D12">
        <v>35</v>
      </c>
      <c r="E12" t="s">
        <v>25</v>
      </c>
      <c r="F12">
        <v>2</v>
      </c>
      <c r="G12">
        <v>4</v>
      </c>
      <c r="H12">
        <v>7</v>
      </c>
      <c r="I12">
        <v>5</v>
      </c>
      <c r="J12">
        <v>3</v>
      </c>
      <c r="K12">
        <v>1</v>
      </c>
      <c r="L12">
        <v>6</v>
      </c>
      <c r="M12" t="s">
        <v>25</v>
      </c>
      <c r="N12" t="s">
        <v>60</v>
      </c>
      <c r="O12" t="s">
        <v>63</v>
      </c>
      <c r="P12" t="s">
        <v>64</v>
      </c>
      <c r="Q12" t="s">
        <v>47</v>
      </c>
      <c r="R12" t="s">
        <v>30</v>
      </c>
      <c r="S12" t="s">
        <v>31</v>
      </c>
      <c r="T12">
        <f t="shared" si="2"/>
        <v>25</v>
      </c>
      <c r="U12" t="s">
        <v>32</v>
      </c>
      <c r="V12" t="s">
        <v>33</v>
      </c>
      <c r="W12" t="s">
        <v>27</v>
      </c>
      <c r="X12" t="s">
        <v>34</v>
      </c>
      <c r="Y12" t="s">
        <v>51</v>
      </c>
      <c r="Z12" t="s">
        <v>59</v>
      </c>
      <c r="AA12" t="s">
        <v>45</v>
      </c>
    </row>
    <row r="13" spans="1:32" x14ac:dyDescent="0.3">
      <c r="A13" t="s">
        <v>46</v>
      </c>
      <c r="B13">
        <f t="shared" si="0"/>
        <v>2</v>
      </c>
      <c r="C13">
        <f t="shared" si="1"/>
        <v>25</v>
      </c>
      <c r="D13">
        <v>29</v>
      </c>
      <c r="E13" t="s">
        <v>25</v>
      </c>
      <c r="F13">
        <v>2</v>
      </c>
      <c r="G13">
        <v>5</v>
      </c>
      <c r="H13">
        <v>7</v>
      </c>
      <c r="I13">
        <v>6</v>
      </c>
      <c r="J13">
        <v>3</v>
      </c>
      <c r="K13">
        <v>1</v>
      </c>
      <c r="L13">
        <v>4</v>
      </c>
      <c r="M13" t="s">
        <v>25</v>
      </c>
      <c r="N13" t="s">
        <v>60</v>
      </c>
      <c r="O13" t="s">
        <v>27</v>
      </c>
      <c r="P13" t="s">
        <v>28</v>
      </c>
      <c r="Q13" t="s">
        <v>29</v>
      </c>
      <c r="R13" t="s">
        <v>30</v>
      </c>
      <c r="S13" t="s">
        <v>31</v>
      </c>
      <c r="T13">
        <f t="shared" si="2"/>
        <v>25</v>
      </c>
      <c r="U13" t="s">
        <v>32</v>
      </c>
      <c r="V13" t="s">
        <v>33</v>
      </c>
      <c r="W13" t="s">
        <v>27</v>
      </c>
      <c r="X13" t="s">
        <v>56</v>
      </c>
      <c r="Y13" t="s">
        <v>51</v>
      </c>
      <c r="Z13" t="s">
        <v>36</v>
      </c>
      <c r="AA13" t="s">
        <v>45</v>
      </c>
    </row>
    <row r="14" spans="1:32" x14ac:dyDescent="0.3">
      <c r="A14" t="s">
        <v>24</v>
      </c>
      <c r="B14">
        <f t="shared" si="0"/>
        <v>2</v>
      </c>
      <c r="C14">
        <f t="shared" si="1"/>
        <v>25</v>
      </c>
      <c r="D14">
        <v>21</v>
      </c>
      <c r="E14" t="s">
        <v>38</v>
      </c>
      <c r="F14">
        <v>1</v>
      </c>
      <c r="G14">
        <v>2</v>
      </c>
      <c r="H14">
        <v>3</v>
      </c>
      <c r="I14">
        <v>4</v>
      </c>
      <c r="J14">
        <v>5</v>
      </c>
      <c r="K14">
        <v>6</v>
      </c>
      <c r="L14">
        <v>7</v>
      </c>
      <c r="M14" t="s">
        <v>38</v>
      </c>
      <c r="N14" t="s">
        <v>26</v>
      </c>
      <c r="O14" t="s">
        <v>27</v>
      </c>
      <c r="P14" t="s">
        <v>64</v>
      </c>
      <c r="Q14" t="s">
        <v>29</v>
      </c>
      <c r="R14" t="s">
        <v>41</v>
      </c>
      <c r="S14" t="s">
        <v>31</v>
      </c>
      <c r="T14">
        <f t="shared" si="2"/>
        <v>25</v>
      </c>
      <c r="U14" t="s">
        <v>32</v>
      </c>
      <c r="V14" t="s">
        <v>66</v>
      </c>
      <c r="W14" t="s">
        <v>43</v>
      </c>
      <c r="X14" t="s">
        <v>34</v>
      </c>
      <c r="Y14" t="s">
        <v>35</v>
      </c>
      <c r="Z14" t="s">
        <v>59</v>
      </c>
      <c r="AA14" t="s">
        <v>58</v>
      </c>
    </row>
    <row r="15" spans="1:32" x14ac:dyDescent="0.3">
      <c r="A15" t="s">
        <v>24</v>
      </c>
      <c r="B15">
        <f t="shared" si="0"/>
        <v>2</v>
      </c>
      <c r="C15">
        <f t="shared" si="1"/>
        <v>25</v>
      </c>
      <c r="D15">
        <v>28</v>
      </c>
      <c r="E15" t="s">
        <v>25</v>
      </c>
      <c r="F15">
        <v>2</v>
      </c>
      <c r="G15">
        <v>3</v>
      </c>
      <c r="H15">
        <v>7</v>
      </c>
      <c r="I15">
        <v>4</v>
      </c>
      <c r="J15">
        <v>5</v>
      </c>
      <c r="K15">
        <v>1</v>
      </c>
      <c r="L15">
        <v>6</v>
      </c>
      <c r="M15" t="s">
        <v>25</v>
      </c>
      <c r="N15" t="s">
        <v>26</v>
      </c>
      <c r="O15" t="s">
        <v>27</v>
      </c>
      <c r="P15" t="s">
        <v>28</v>
      </c>
      <c r="Q15" t="s">
        <v>29</v>
      </c>
      <c r="R15" t="s">
        <v>30</v>
      </c>
      <c r="S15" t="s">
        <v>31</v>
      </c>
      <c r="T15">
        <f t="shared" si="2"/>
        <v>25</v>
      </c>
      <c r="U15" t="s">
        <v>32</v>
      </c>
      <c r="V15" t="s">
        <v>33</v>
      </c>
      <c r="W15" t="s">
        <v>27</v>
      </c>
      <c r="X15" t="s">
        <v>56</v>
      </c>
      <c r="Y15" t="s">
        <v>51</v>
      </c>
      <c r="Z15" t="s">
        <v>59</v>
      </c>
      <c r="AA15" t="s">
        <v>37</v>
      </c>
    </row>
    <row r="16" spans="1:32" x14ac:dyDescent="0.3">
      <c r="A16" t="s">
        <v>24</v>
      </c>
      <c r="B16">
        <f t="shared" si="0"/>
        <v>2</v>
      </c>
      <c r="C16">
        <f t="shared" si="1"/>
        <v>25</v>
      </c>
      <c r="D16">
        <v>25</v>
      </c>
      <c r="E16" t="s">
        <v>25</v>
      </c>
      <c r="F16">
        <v>2</v>
      </c>
      <c r="G16">
        <v>3</v>
      </c>
      <c r="H16">
        <v>7</v>
      </c>
      <c r="I16">
        <v>5</v>
      </c>
      <c r="J16">
        <v>4</v>
      </c>
      <c r="K16">
        <v>1</v>
      </c>
      <c r="L16">
        <v>6</v>
      </c>
      <c r="M16" t="s">
        <v>25</v>
      </c>
      <c r="N16" t="s">
        <v>26</v>
      </c>
      <c r="O16" t="s">
        <v>27</v>
      </c>
      <c r="P16" t="s">
        <v>28</v>
      </c>
      <c r="Q16" t="s">
        <v>29</v>
      </c>
      <c r="R16" t="s">
        <v>30</v>
      </c>
      <c r="S16" t="s">
        <v>31</v>
      </c>
      <c r="T16">
        <f t="shared" si="2"/>
        <v>25</v>
      </c>
      <c r="U16" t="s">
        <v>65</v>
      </c>
      <c r="V16" t="s">
        <v>42</v>
      </c>
      <c r="W16" t="s">
        <v>43</v>
      </c>
      <c r="X16" t="s">
        <v>34</v>
      </c>
      <c r="Y16" t="s">
        <v>51</v>
      </c>
      <c r="Z16" t="s">
        <v>59</v>
      </c>
      <c r="AA16" t="s">
        <v>45</v>
      </c>
    </row>
    <row r="17" spans="1:27" x14ac:dyDescent="0.3">
      <c r="A17" t="s">
        <v>46</v>
      </c>
      <c r="B17">
        <f t="shared" si="0"/>
        <v>2</v>
      </c>
      <c r="C17">
        <f t="shared" si="1"/>
        <v>25</v>
      </c>
      <c r="D17">
        <v>27</v>
      </c>
      <c r="E17" t="s">
        <v>25</v>
      </c>
      <c r="F17">
        <v>2</v>
      </c>
      <c r="G17">
        <v>3</v>
      </c>
      <c r="H17">
        <v>7</v>
      </c>
      <c r="I17">
        <v>5</v>
      </c>
      <c r="J17">
        <v>4</v>
      </c>
      <c r="K17">
        <v>1</v>
      </c>
      <c r="L17">
        <v>6</v>
      </c>
      <c r="M17" t="s">
        <v>25</v>
      </c>
      <c r="N17" t="s">
        <v>26</v>
      </c>
      <c r="O17" t="s">
        <v>27</v>
      </c>
      <c r="P17" t="s">
        <v>28</v>
      </c>
      <c r="Q17" t="s">
        <v>29</v>
      </c>
      <c r="R17" t="s">
        <v>30</v>
      </c>
      <c r="S17" t="s">
        <v>31</v>
      </c>
      <c r="T17">
        <f t="shared" si="2"/>
        <v>25</v>
      </c>
      <c r="U17" t="s">
        <v>32</v>
      </c>
      <c r="V17" t="s">
        <v>42</v>
      </c>
      <c r="W17" t="s">
        <v>27</v>
      </c>
      <c r="X17" t="s">
        <v>56</v>
      </c>
      <c r="Y17" t="s">
        <v>51</v>
      </c>
      <c r="Z17" t="s">
        <v>59</v>
      </c>
      <c r="AA17" t="s">
        <v>37</v>
      </c>
    </row>
    <row r="18" spans="1:27" x14ac:dyDescent="0.3">
      <c r="A18" t="s">
        <v>24</v>
      </c>
      <c r="B18">
        <f t="shared" si="0"/>
        <v>2</v>
      </c>
      <c r="C18">
        <f t="shared" si="1"/>
        <v>25</v>
      </c>
      <c r="D18">
        <v>28</v>
      </c>
      <c r="E18" t="s">
        <v>25</v>
      </c>
      <c r="F18">
        <v>3</v>
      </c>
      <c r="G18">
        <v>2</v>
      </c>
      <c r="H18">
        <v>7</v>
      </c>
      <c r="I18">
        <v>5</v>
      </c>
      <c r="J18">
        <v>4</v>
      </c>
      <c r="K18">
        <v>1</v>
      </c>
      <c r="L18">
        <v>6</v>
      </c>
      <c r="M18" t="s">
        <v>25</v>
      </c>
      <c r="N18" t="s">
        <v>60</v>
      </c>
      <c r="O18" t="s">
        <v>63</v>
      </c>
      <c r="P18" t="s">
        <v>28</v>
      </c>
      <c r="Q18" t="s">
        <v>29</v>
      </c>
      <c r="R18" t="s">
        <v>30</v>
      </c>
      <c r="S18" t="s">
        <v>31</v>
      </c>
      <c r="T18">
        <f t="shared" si="2"/>
        <v>25</v>
      </c>
      <c r="U18" t="s">
        <v>65</v>
      </c>
      <c r="V18" t="s">
        <v>42</v>
      </c>
      <c r="W18" t="s">
        <v>27</v>
      </c>
      <c r="X18" t="s">
        <v>56</v>
      </c>
      <c r="Y18" t="s">
        <v>51</v>
      </c>
      <c r="Z18" t="s">
        <v>59</v>
      </c>
      <c r="AA18" t="s">
        <v>52</v>
      </c>
    </row>
    <row r="19" spans="1:27" x14ac:dyDescent="0.3">
      <c r="A19" t="s">
        <v>46</v>
      </c>
      <c r="B19">
        <f t="shared" si="0"/>
        <v>2</v>
      </c>
      <c r="C19">
        <f t="shared" si="1"/>
        <v>25</v>
      </c>
      <c r="D19">
        <v>27</v>
      </c>
      <c r="E19" t="s">
        <v>25</v>
      </c>
      <c r="F19">
        <v>3</v>
      </c>
      <c r="G19">
        <v>2</v>
      </c>
      <c r="H19">
        <v>7</v>
      </c>
      <c r="I19">
        <v>4</v>
      </c>
      <c r="J19">
        <v>5</v>
      </c>
      <c r="K19">
        <v>1</v>
      </c>
      <c r="L19">
        <v>6</v>
      </c>
      <c r="M19" t="s">
        <v>25</v>
      </c>
      <c r="N19" t="s">
        <v>26</v>
      </c>
      <c r="O19" t="s">
        <v>27</v>
      </c>
      <c r="P19" t="s">
        <v>28</v>
      </c>
      <c r="Q19" t="s">
        <v>29</v>
      </c>
      <c r="R19" t="s">
        <v>30</v>
      </c>
      <c r="S19" t="s">
        <v>31</v>
      </c>
      <c r="T19">
        <f t="shared" si="2"/>
        <v>25</v>
      </c>
      <c r="U19" t="s">
        <v>32</v>
      </c>
      <c r="V19" t="s">
        <v>33</v>
      </c>
      <c r="W19" t="s">
        <v>27</v>
      </c>
      <c r="X19" t="s">
        <v>34</v>
      </c>
      <c r="Y19" t="s">
        <v>51</v>
      </c>
      <c r="Z19" t="s">
        <v>59</v>
      </c>
      <c r="AA19" t="s">
        <v>45</v>
      </c>
    </row>
    <row r="20" spans="1:27" x14ac:dyDescent="0.3">
      <c r="A20" t="s">
        <v>46</v>
      </c>
      <c r="B20">
        <f t="shared" si="0"/>
        <v>2</v>
      </c>
      <c r="C20">
        <f t="shared" si="1"/>
        <v>25</v>
      </c>
      <c r="D20">
        <v>29</v>
      </c>
      <c r="E20" t="s">
        <v>25</v>
      </c>
      <c r="F20">
        <v>3</v>
      </c>
      <c r="G20">
        <v>2</v>
      </c>
      <c r="H20">
        <v>7</v>
      </c>
      <c r="I20">
        <v>4</v>
      </c>
      <c r="J20">
        <v>5</v>
      </c>
      <c r="K20">
        <v>1</v>
      </c>
      <c r="L20">
        <v>6</v>
      </c>
      <c r="M20" t="s">
        <v>25</v>
      </c>
      <c r="N20" t="s">
        <v>60</v>
      </c>
      <c r="O20" t="s">
        <v>27</v>
      </c>
      <c r="P20" t="s">
        <v>28</v>
      </c>
      <c r="Q20" t="s">
        <v>29</v>
      </c>
      <c r="R20" t="s">
        <v>30</v>
      </c>
      <c r="S20" t="s">
        <v>31</v>
      </c>
      <c r="T20">
        <f t="shared" si="2"/>
        <v>25</v>
      </c>
      <c r="U20" t="s">
        <v>32</v>
      </c>
      <c r="V20" t="s">
        <v>33</v>
      </c>
      <c r="W20" t="s">
        <v>27</v>
      </c>
      <c r="X20" t="s">
        <v>34</v>
      </c>
      <c r="Y20" t="s">
        <v>51</v>
      </c>
      <c r="Z20" t="s">
        <v>59</v>
      </c>
      <c r="AA20" t="s">
        <v>37</v>
      </c>
    </row>
    <row r="21" spans="1:27" x14ac:dyDescent="0.3">
      <c r="A21" t="s">
        <v>46</v>
      </c>
      <c r="B21">
        <f t="shared" si="0"/>
        <v>4</v>
      </c>
      <c r="C21">
        <f t="shared" si="1"/>
        <v>25</v>
      </c>
      <c r="D21">
        <v>26</v>
      </c>
      <c r="E21" t="s">
        <v>25</v>
      </c>
      <c r="F21">
        <v>3</v>
      </c>
      <c r="G21">
        <v>4</v>
      </c>
      <c r="H21">
        <v>6</v>
      </c>
      <c r="I21">
        <v>5</v>
      </c>
      <c r="J21">
        <v>1</v>
      </c>
      <c r="K21">
        <v>2</v>
      </c>
      <c r="L21">
        <v>7</v>
      </c>
      <c r="M21" t="s">
        <v>25</v>
      </c>
      <c r="N21" t="s">
        <v>60</v>
      </c>
      <c r="O21" t="s">
        <v>27</v>
      </c>
      <c r="P21" t="s">
        <v>28</v>
      </c>
      <c r="Q21" t="s">
        <v>47</v>
      </c>
      <c r="R21" t="s">
        <v>30</v>
      </c>
      <c r="S21" t="s">
        <v>31</v>
      </c>
      <c r="T21">
        <f t="shared" si="2"/>
        <v>25</v>
      </c>
      <c r="U21" t="s">
        <v>65</v>
      </c>
      <c r="V21" t="s">
        <v>42</v>
      </c>
      <c r="W21" t="s">
        <v>27</v>
      </c>
      <c r="X21" t="s">
        <v>56</v>
      </c>
      <c r="Y21" t="s">
        <v>51</v>
      </c>
      <c r="Z21" t="s">
        <v>59</v>
      </c>
      <c r="AA21" t="s">
        <v>37</v>
      </c>
    </row>
    <row r="22" spans="1:27" x14ac:dyDescent="0.3">
      <c r="A22" t="s">
        <v>46</v>
      </c>
      <c r="B22">
        <f t="shared" si="0"/>
        <v>4</v>
      </c>
      <c r="C22">
        <f t="shared" si="1"/>
        <v>25</v>
      </c>
      <c r="D22">
        <v>29</v>
      </c>
      <c r="E22" t="s">
        <v>25</v>
      </c>
      <c r="F22">
        <v>2</v>
      </c>
      <c r="G22">
        <v>4</v>
      </c>
      <c r="H22">
        <v>7</v>
      </c>
      <c r="I22">
        <v>5</v>
      </c>
      <c r="J22">
        <v>3</v>
      </c>
      <c r="K22">
        <v>1</v>
      </c>
      <c r="L22">
        <v>6</v>
      </c>
      <c r="M22" t="s">
        <v>25</v>
      </c>
      <c r="N22" t="s">
        <v>26</v>
      </c>
      <c r="O22" t="s">
        <v>63</v>
      </c>
      <c r="P22" t="s">
        <v>28</v>
      </c>
      <c r="Q22" t="s">
        <v>47</v>
      </c>
      <c r="R22" t="s">
        <v>41</v>
      </c>
      <c r="S22" t="s">
        <v>31</v>
      </c>
      <c r="T22">
        <f t="shared" si="2"/>
        <v>25</v>
      </c>
      <c r="U22" t="s">
        <v>32</v>
      </c>
      <c r="V22" t="s">
        <v>33</v>
      </c>
      <c r="W22" t="s">
        <v>27</v>
      </c>
      <c r="X22" t="s">
        <v>34</v>
      </c>
      <c r="Y22" t="s">
        <v>51</v>
      </c>
      <c r="Z22" t="s">
        <v>36</v>
      </c>
      <c r="AA22" t="s">
        <v>45</v>
      </c>
    </row>
    <row r="23" spans="1:27" x14ac:dyDescent="0.3">
      <c r="A23" t="s">
        <v>24</v>
      </c>
      <c r="B23">
        <f t="shared" si="0"/>
        <v>4</v>
      </c>
      <c r="C23">
        <f t="shared" si="1"/>
        <v>25</v>
      </c>
      <c r="D23">
        <v>24</v>
      </c>
      <c r="E23" t="s">
        <v>25</v>
      </c>
      <c r="F23">
        <v>2</v>
      </c>
      <c r="G23">
        <v>4</v>
      </c>
      <c r="H23">
        <v>5</v>
      </c>
      <c r="I23">
        <v>6</v>
      </c>
      <c r="J23">
        <v>3</v>
      </c>
      <c r="K23">
        <v>1</v>
      </c>
      <c r="L23">
        <v>7</v>
      </c>
      <c r="M23" t="s">
        <v>25</v>
      </c>
      <c r="N23" t="s">
        <v>60</v>
      </c>
      <c r="O23" t="s">
        <v>27</v>
      </c>
      <c r="P23" t="s">
        <v>28</v>
      </c>
      <c r="Q23" t="s">
        <v>47</v>
      </c>
      <c r="R23" t="s">
        <v>30</v>
      </c>
      <c r="S23" t="s">
        <v>31</v>
      </c>
      <c r="T23">
        <f t="shared" si="2"/>
        <v>25</v>
      </c>
      <c r="U23" t="s">
        <v>49</v>
      </c>
      <c r="V23" t="s">
        <v>42</v>
      </c>
      <c r="W23" t="s">
        <v>27</v>
      </c>
      <c r="X23" t="s">
        <v>34</v>
      </c>
      <c r="Y23" t="s">
        <v>51</v>
      </c>
      <c r="Z23" t="s">
        <v>59</v>
      </c>
      <c r="AA23" t="s">
        <v>37</v>
      </c>
    </row>
    <row r="24" spans="1:27" x14ac:dyDescent="0.3">
      <c r="A24" t="s">
        <v>46</v>
      </c>
      <c r="B24">
        <f t="shared" si="0"/>
        <v>4</v>
      </c>
      <c r="C24">
        <f t="shared" si="1"/>
        <v>25</v>
      </c>
      <c r="D24">
        <v>27</v>
      </c>
      <c r="E24" t="s">
        <v>25</v>
      </c>
      <c r="F24">
        <v>3</v>
      </c>
      <c r="G24">
        <v>4</v>
      </c>
      <c r="H24">
        <v>6</v>
      </c>
      <c r="I24">
        <v>5</v>
      </c>
      <c r="J24">
        <v>2</v>
      </c>
      <c r="K24">
        <v>1</v>
      </c>
      <c r="L24">
        <v>7</v>
      </c>
      <c r="M24" t="s">
        <v>25</v>
      </c>
      <c r="N24" t="s">
        <v>26</v>
      </c>
      <c r="O24" t="s">
        <v>27</v>
      </c>
      <c r="P24" t="s">
        <v>28</v>
      </c>
      <c r="Q24" t="s">
        <v>47</v>
      </c>
      <c r="R24" t="s">
        <v>30</v>
      </c>
      <c r="S24" t="s">
        <v>31</v>
      </c>
      <c r="T24">
        <f t="shared" si="2"/>
        <v>25</v>
      </c>
      <c r="U24" t="s">
        <v>32</v>
      </c>
      <c r="V24" t="s">
        <v>33</v>
      </c>
      <c r="W24" t="s">
        <v>27</v>
      </c>
      <c r="X24" t="s">
        <v>34</v>
      </c>
      <c r="Y24" t="s">
        <v>51</v>
      </c>
      <c r="Z24" t="s">
        <v>59</v>
      </c>
      <c r="AA24" t="s">
        <v>45</v>
      </c>
    </row>
    <row r="25" spans="1:27" x14ac:dyDescent="0.3">
      <c r="A25" t="s">
        <v>46</v>
      </c>
      <c r="B25">
        <f t="shared" si="0"/>
        <v>4</v>
      </c>
      <c r="C25">
        <f t="shared" si="1"/>
        <v>25</v>
      </c>
      <c r="D25">
        <v>25</v>
      </c>
      <c r="E25" t="s">
        <v>25</v>
      </c>
      <c r="F25">
        <v>2</v>
      </c>
      <c r="G25">
        <v>4</v>
      </c>
      <c r="H25">
        <v>6</v>
      </c>
      <c r="I25">
        <v>5</v>
      </c>
      <c r="J25">
        <v>3</v>
      </c>
      <c r="K25">
        <v>1</v>
      </c>
      <c r="L25">
        <v>7</v>
      </c>
      <c r="M25" t="s">
        <v>25</v>
      </c>
      <c r="N25" t="s">
        <v>60</v>
      </c>
      <c r="O25" t="s">
        <v>63</v>
      </c>
      <c r="P25" t="s">
        <v>64</v>
      </c>
      <c r="Q25" t="s">
        <v>47</v>
      </c>
      <c r="R25" t="s">
        <v>41</v>
      </c>
      <c r="S25" t="s">
        <v>31</v>
      </c>
      <c r="T25">
        <f t="shared" si="2"/>
        <v>25</v>
      </c>
      <c r="U25" t="s">
        <v>67</v>
      </c>
      <c r="V25" t="s">
        <v>42</v>
      </c>
      <c r="W25" t="s">
        <v>62</v>
      </c>
      <c r="X25" t="s">
        <v>34</v>
      </c>
      <c r="Y25" t="s">
        <v>51</v>
      </c>
      <c r="Z25" t="s">
        <v>59</v>
      </c>
      <c r="AA25" t="s">
        <v>45</v>
      </c>
    </row>
    <row r="26" spans="1:27" x14ac:dyDescent="0.3">
      <c r="A26" t="s">
        <v>24</v>
      </c>
      <c r="B26">
        <f t="shared" si="0"/>
        <v>4</v>
      </c>
      <c r="C26">
        <f t="shared" si="1"/>
        <v>35</v>
      </c>
      <c r="D26">
        <v>26</v>
      </c>
      <c r="E26" t="s">
        <v>25</v>
      </c>
      <c r="F26">
        <v>2</v>
      </c>
      <c r="G26">
        <v>3</v>
      </c>
      <c r="H26">
        <v>7</v>
      </c>
      <c r="I26">
        <v>5</v>
      </c>
      <c r="J26">
        <v>4</v>
      </c>
      <c r="K26">
        <v>1</v>
      </c>
      <c r="L26">
        <v>6</v>
      </c>
      <c r="M26" t="s">
        <v>25</v>
      </c>
      <c r="N26" t="s">
        <v>26</v>
      </c>
      <c r="O26" t="s">
        <v>27</v>
      </c>
      <c r="P26" t="s">
        <v>28</v>
      </c>
      <c r="Q26" t="s">
        <v>47</v>
      </c>
      <c r="R26" t="s">
        <v>30</v>
      </c>
      <c r="S26" t="s">
        <v>61</v>
      </c>
      <c r="T26">
        <f t="shared" si="2"/>
        <v>35</v>
      </c>
      <c r="U26" t="s">
        <v>67</v>
      </c>
      <c r="V26" t="s">
        <v>33</v>
      </c>
      <c r="W26" t="s">
        <v>27</v>
      </c>
      <c r="X26" t="s">
        <v>34</v>
      </c>
      <c r="Y26" t="s">
        <v>51</v>
      </c>
      <c r="Z26" t="s">
        <v>59</v>
      </c>
      <c r="AA26" t="s">
        <v>37</v>
      </c>
    </row>
    <row r="27" spans="1:27" x14ac:dyDescent="0.3">
      <c r="A27" t="s">
        <v>24</v>
      </c>
      <c r="B27">
        <f t="shared" si="0"/>
        <v>4</v>
      </c>
      <c r="C27">
        <f t="shared" si="1"/>
        <v>25</v>
      </c>
      <c r="D27">
        <v>32</v>
      </c>
      <c r="E27" t="s">
        <v>25</v>
      </c>
      <c r="F27">
        <v>3</v>
      </c>
      <c r="G27">
        <v>4</v>
      </c>
      <c r="H27">
        <v>7</v>
      </c>
      <c r="I27">
        <v>5</v>
      </c>
      <c r="J27">
        <v>1</v>
      </c>
      <c r="K27">
        <v>2</v>
      </c>
      <c r="L27">
        <v>6</v>
      </c>
      <c r="M27" t="s">
        <v>25</v>
      </c>
      <c r="N27" t="s">
        <v>60</v>
      </c>
      <c r="O27" t="s">
        <v>63</v>
      </c>
      <c r="P27" t="s">
        <v>28</v>
      </c>
      <c r="Q27" t="s">
        <v>47</v>
      </c>
      <c r="R27" t="s">
        <v>30</v>
      </c>
      <c r="S27" t="s">
        <v>31</v>
      </c>
      <c r="T27">
        <f t="shared" si="2"/>
        <v>25</v>
      </c>
      <c r="U27" t="s">
        <v>32</v>
      </c>
      <c r="V27" t="s">
        <v>33</v>
      </c>
      <c r="W27" t="s">
        <v>27</v>
      </c>
      <c r="X27" t="s">
        <v>34</v>
      </c>
      <c r="Y27" t="s">
        <v>51</v>
      </c>
      <c r="Z27" t="s">
        <v>36</v>
      </c>
      <c r="AA27" t="s">
        <v>45</v>
      </c>
    </row>
    <row r="28" spans="1:27" x14ac:dyDescent="0.3">
      <c r="A28" t="s">
        <v>46</v>
      </c>
      <c r="B28">
        <f t="shared" si="0"/>
        <v>4</v>
      </c>
      <c r="C28">
        <f t="shared" si="1"/>
        <v>25</v>
      </c>
      <c r="D28">
        <v>26</v>
      </c>
      <c r="E28" t="s">
        <v>25</v>
      </c>
      <c r="F28">
        <v>3</v>
      </c>
      <c r="G28">
        <v>4</v>
      </c>
      <c r="H28">
        <v>6</v>
      </c>
      <c r="I28">
        <v>5</v>
      </c>
      <c r="J28">
        <v>1</v>
      </c>
      <c r="K28">
        <v>2</v>
      </c>
      <c r="L28">
        <v>7</v>
      </c>
      <c r="M28" t="s">
        <v>25</v>
      </c>
      <c r="N28" t="s">
        <v>26</v>
      </c>
      <c r="O28" t="s">
        <v>27</v>
      </c>
      <c r="P28" t="s">
        <v>28</v>
      </c>
      <c r="Q28" t="s">
        <v>47</v>
      </c>
      <c r="R28" t="s">
        <v>30</v>
      </c>
      <c r="S28" t="s">
        <v>31</v>
      </c>
      <c r="T28">
        <f t="shared" si="2"/>
        <v>25</v>
      </c>
      <c r="U28" t="s">
        <v>32</v>
      </c>
      <c r="V28" t="s">
        <v>33</v>
      </c>
      <c r="W28" t="s">
        <v>43</v>
      </c>
      <c r="X28" t="s">
        <v>56</v>
      </c>
      <c r="Y28" t="s">
        <v>51</v>
      </c>
      <c r="Z28" t="s">
        <v>36</v>
      </c>
      <c r="AA28" t="s">
        <v>45</v>
      </c>
    </row>
    <row r="29" spans="1:27" x14ac:dyDescent="0.3">
      <c r="A29" t="s">
        <v>46</v>
      </c>
      <c r="B29">
        <f t="shared" si="0"/>
        <v>2</v>
      </c>
      <c r="C29">
        <f t="shared" si="1"/>
        <v>25</v>
      </c>
      <c r="D29">
        <v>31</v>
      </c>
      <c r="E29" t="s">
        <v>25</v>
      </c>
      <c r="F29">
        <v>2</v>
      </c>
      <c r="G29">
        <v>3</v>
      </c>
      <c r="H29">
        <v>7</v>
      </c>
      <c r="I29">
        <v>6</v>
      </c>
      <c r="J29">
        <v>4</v>
      </c>
      <c r="K29">
        <v>1</v>
      </c>
      <c r="L29">
        <v>5</v>
      </c>
      <c r="M29" t="s">
        <v>25</v>
      </c>
      <c r="N29" t="s">
        <v>60</v>
      </c>
      <c r="O29" t="s">
        <v>63</v>
      </c>
      <c r="P29" t="s">
        <v>64</v>
      </c>
      <c r="Q29" t="s">
        <v>29</v>
      </c>
      <c r="R29" t="s">
        <v>30</v>
      </c>
      <c r="S29" t="s">
        <v>31</v>
      </c>
      <c r="T29">
        <f t="shared" si="2"/>
        <v>25</v>
      </c>
      <c r="U29" t="s">
        <v>65</v>
      </c>
      <c r="V29" t="s">
        <v>42</v>
      </c>
      <c r="W29" t="s">
        <v>27</v>
      </c>
      <c r="X29" t="s">
        <v>56</v>
      </c>
      <c r="Y29" t="s">
        <v>35</v>
      </c>
      <c r="Z29" t="s">
        <v>36</v>
      </c>
      <c r="AA29" t="s">
        <v>52</v>
      </c>
    </row>
    <row r="30" spans="1:27" x14ac:dyDescent="0.3">
      <c r="A30" t="s">
        <v>46</v>
      </c>
      <c r="B30">
        <f t="shared" si="0"/>
        <v>2</v>
      </c>
      <c r="C30">
        <f t="shared" si="1"/>
        <v>25</v>
      </c>
      <c r="D30">
        <v>29</v>
      </c>
      <c r="E30" t="s">
        <v>25</v>
      </c>
      <c r="F30">
        <v>2</v>
      </c>
      <c r="G30">
        <v>3</v>
      </c>
      <c r="H30">
        <v>6</v>
      </c>
      <c r="I30">
        <v>5</v>
      </c>
      <c r="J30">
        <v>1</v>
      </c>
      <c r="K30">
        <v>4</v>
      </c>
      <c r="L30">
        <v>7</v>
      </c>
      <c r="M30" t="s">
        <v>25</v>
      </c>
      <c r="N30" t="s">
        <v>26</v>
      </c>
      <c r="O30" t="s">
        <v>27</v>
      </c>
      <c r="P30" t="s">
        <v>28</v>
      </c>
      <c r="Q30" t="s">
        <v>29</v>
      </c>
      <c r="R30" t="s">
        <v>30</v>
      </c>
      <c r="S30" t="s">
        <v>31</v>
      </c>
      <c r="T30">
        <f t="shared" si="2"/>
        <v>25</v>
      </c>
      <c r="U30" t="s">
        <v>49</v>
      </c>
      <c r="V30" t="s">
        <v>33</v>
      </c>
      <c r="W30" t="s">
        <v>27</v>
      </c>
      <c r="X30" t="s">
        <v>34</v>
      </c>
      <c r="Y30" t="s">
        <v>51</v>
      </c>
      <c r="Z30" t="s">
        <v>59</v>
      </c>
      <c r="AA30" t="s">
        <v>52</v>
      </c>
    </row>
    <row r="31" spans="1:27" x14ac:dyDescent="0.3">
      <c r="A31" t="s">
        <v>24</v>
      </c>
      <c r="B31">
        <f t="shared" si="0"/>
        <v>4</v>
      </c>
      <c r="C31">
        <f t="shared" si="1"/>
        <v>15</v>
      </c>
      <c r="D31">
        <v>34</v>
      </c>
      <c r="E31" t="s">
        <v>25</v>
      </c>
      <c r="F31">
        <v>5</v>
      </c>
      <c r="G31">
        <v>4</v>
      </c>
      <c r="H31">
        <v>3</v>
      </c>
      <c r="I31">
        <v>2</v>
      </c>
      <c r="J31">
        <v>7</v>
      </c>
      <c r="K31">
        <v>1</v>
      </c>
      <c r="L31">
        <v>6</v>
      </c>
      <c r="M31" t="s">
        <v>25</v>
      </c>
      <c r="N31" t="s">
        <v>26</v>
      </c>
      <c r="O31" t="s">
        <v>53</v>
      </c>
      <c r="P31" t="s">
        <v>26</v>
      </c>
      <c r="Q31" t="s">
        <v>47</v>
      </c>
      <c r="R31" t="s">
        <v>30</v>
      </c>
      <c r="S31" t="s">
        <v>55</v>
      </c>
      <c r="T31">
        <f t="shared" si="2"/>
        <v>15</v>
      </c>
      <c r="U31" t="s">
        <v>32</v>
      </c>
      <c r="V31" t="s">
        <v>33</v>
      </c>
      <c r="W31" t="s">
        <v>27</v>
      </c>
      <c r="X31" t="s">
        <v>50</v>
      </c>
      <c r="Y31" t="s">
        <v>35</v>
      </c>
      <c r="Z31" t="s">
        <v>36</v>
      </c>
      <c r="AA31" t="s">
        <v>37</v>
      </c>
    </row>
    <row r="32" spans="1:27" x14ac:dyDescent="0.3">
      <c r="A32" t="s">
        <v>46</v>
      </c>
      <c r="B32">
        <f t="shared" si="0"/>
        <v>2</v>
      </c>
      <c r="C32">
        <f t="shared" si="1"/>
        <v>15</v>
      </c>
      <c r="D32">
        <v>27</v>
      </c>
      <c r="E32" t="s">
        <v>25</v>
      </c>
      <c r="F32">
        <v>4</v>
      </c>
      <c r="G32">
        <v>5</v>
      </c>
      <c r="H32">
        <v>1</v>
      </c>
      <c r="I32">
        <v>2</v>
      </c>
      <c r="J32">
        <v>7</v>
      </c>
      <c r="K32">
        <v>3</v>
      </c>
      <c r="L32">
        <v>6</v>
      </c>
      <c r="M32" t="s">
        <v>38</v>
      </c>
      <c r="N32" t="s">
        <v>26</v>
      </c>
      <c r="O32" t="s">
        <v>63</v>
      </c>
      <c r="P32" t="s">
        <v>28</v>
      </c>
      <c r="Q32" t="s">
        <v>29</v>
      </c>
      <c r="R32" t="s">
        <v>30</v>
      </c>
      <c r="S32" t="s">
        <v>55</v>
      </c>
      <c r="T32">
        <f t="shared" si="2"/>
        <v>15</v>
      </c>
      <c r="U32" t="s">
        <v>32</v>
      </c>
      <c r="V32" t="s">
        <v>66</v>
      </c>
      <c r="W32" t="s">
        <v>27</v>
      </c>
      <c r="X32" t="s">
        <v>50</v>
      </c>
      <c r="Y32" t="s">
        <v>35</v>
      </c>
      <c r="Z32" t="s">
        <v>36</v>
      </c>
      <c r="AA32" t="s">
        <v>52</v>
      </c>
    </row>
    <row r="33" spans="1:27" x14ac:dyDescent="0.3">
      <c r="A33" t="s">
        <v>24</v>
      </c>
      <c r="B33">
        <f t="shared" si="0"/>
        <v>4</v>
      </c>
      <c r="C33">
        <f t="shared" si="1"/>
        <v>25</v>
      </c>
      <c r="D33">
        <v>31</v>
      </c>
      <c r="E33" t="s">
        <v>25</v>
      </c>
      <c r="F33">
        <v>2</v>
      </c>
      <c r="G33">
        <v>4</v>
      </c>
      <c r="H33">
        <v>7</v>
      </c>
      <c r="I33">
        <v>6</v>
      </c>
      <c r="J33">
        <v>3</v>
      </c>
      <c r="K33">
        <v>1</v>
      </c>
      <c r="L33">
        <v>5</v>
      </c>
      <c r="M33" t="s">
        <v>25</v>
      </c>
      <c r="N33" t="s">
        <v>26</v>
      </c>
      <c r="O33" t="s">
        <v>27</v>
      </c>
      <c r="P33" t="s">
        <v>28</v>
      </c>
      <c r="Q33" t="s">
        <v>47</v>
      </c>
      <c r="R33" t="s">
        <v>30</v>
      </c>
      <c r="S33" t="s">
        <v>31</v>
      </c>
      <c r="T33">
        <f t="shared" si="2"/>
        <v>25</v>
      </c>
      <c r="U33" t="s">
        <v>65</v>
      </c>
      <c r="V33" t="s">
        <v>33</v>
      </c>
      <c r="W33" t="s">
        <v>27</v>
      </c>
      <c r="X33" t="s">
        <v>34</v>
      </c>
      <c r="Y33" t="s">
        <v>51</v>
      </c>
      <c r="Z33" t="s">
        <v>36</v>
      </c>
      <c r="AA33" t="s">
        <v>45</v>
      </c>
    </row>
    <row r="34" spans="1:27" x14ac:dyDescent="0.3">
      <c r="A34" t="s">
        <v>46</v>
      </c>
      <c r="B34">
        <f t="shared" si="0"/>
        <v>4</v>
      </c>
      <c r="C34">
        <f t="shared" si="1"/>
        <v>35</v>
      </c>
      <c r="D34">
        <v>27</v>
      </c>
      <c r="E34" t="s">
        <v>25</v>
      </c>
      <c r="F34">
        <v>2</v>
      </c>
      <c r="G34">
        <v>4</v>
      </c>
      <c r="H34">
        <v>7</v>
      </c>
      <c r="I34">
        <v>5</v>
      </c>
      <c r="J34">
        <v>1</v>
      </c>
      <c r="K34">
        <v>3</v>
      </c>
      <c r="L34">
        <v>6</v>
      </c>
      <c r="M34" t="s">
        <v>25</v>
      </c>
      <c r="N34" t="s">
        <v>26</v>
      </c>
      <c r="O34" t="s">
        <v>27</v>
      </c>
      <c r="P34" t="s">
        <v>28</v>
      </c>
      <c r="Q34" t="s">
        <v>47</v>
      </c>
      <c r="R34" t="s">
        <v>30</v>
      </c>
      <c r="S34" t="s">
        <v>61</v>
      </c>
      <c r="T34">
        <f t="shared" si="2"/>
        <v>35</v>
      </c>
      <c r="U34" t="s">
        <v>49</v>
      </c>
      <c r="V34" t="s">
        <v>42</v>
      </c>
      <c r="W34" t="s">
        <v>27</v>
      </c>
      <c r="X34" t="s">
        <v>56</v>
      </c>
      <c r="Y34" t="s">
        <v>51</v>
      </c>
      <c r="Z34" t="s">
        <v>36</v>
      </c>
      <c r="AA34" t="s">
        <v>37</v>
      </c>
    </row>
    <row r="35" spans="1:27" x14ac:dyDescent="0.3">
      <c r="A35" t="s">
        <v>46</v>
      </c>
      <c r="B35">
        <f t="shared" si="0"/>
        <v>2</v>
      </c>
      <c r="C35">
        <f t="shared" si="1"/>
        <v>25</v>
      </c>
      <c r="D35">
        <v>26</v>
      </c>
      <c r="E35" t="s">
        <v>25</v>
      </c>
      <c r="F35">
        <v>2</v>
      </c>
      <c r="G35">
        <v>3</v>
      </c>
      <c r="H35">
        <v>6</v>
      </c>
      <c r="I35">
        <v>4</v>
      </c>
      <c r="J35">
        <v>1</v>
      </c>
      <c r="K35">
        <v>5</v>
      </c>
      <c r="L35">
        <v>7</v>
      </c>
      <c r="M35" t="s">
        <v>25</v>
      </c>
      <c r="N35" t="s">
        <v>26</v>
      </c>
      <c r="O35" t="s">
        <v>27</v>
      </c>
      <c r="P35" t="s">
        <v>26</v>
      </c>
      <c r="Q35" t="s">
        <v>29</v>
      </c>
      <c r="R35" t="s">
        <v>30</v>
      </c>
      <c r="S35" t="s">
        <v>31</v>
      </c>
      <c r="T35">
        <f t="shared" si="2"/>
        <v>25</v>
      </c>
      <c r="U35" t="s">
        <v>65</v>
      </c>
      <c r="V35" t="s">
        <v>66</v>
      </c>
      <c r="W35" t="s">
        <v>43</v>
      </c>
      <c r="X35" t="s">
        <v>34</v>
      </c>
      <c r="Y35" t="s">
        <v>35</v>
      </c>
      <c r="Z35" t="s">
        <v>59</v>
      </c>
      <c r="AA35" t="s">
        <v>37</v>
      </c>
    </row>
    <row r="36" spans="1:27" x14ac:dyDescent="0.3">
      <c r="A36" t="s">
        <v>46</v>
      </c>
      <c r="B36">
        <f t="shared" si="0"/>
        <v>2</v>
      </c>
      <c r="C36">
        <f t="shared" si="1"/>
        <v>25</v>
      </c>
      <c r="D36">
        <v>27</v>
      </c>
      <c r="E36" t="s">
        <v>25</v>
      </c>
      <c r="F36">
        <v>2</v>
      </c>
      <c r="G36">
        <v>3</v>
      </c>
      <c r="H36">
        <v>6</v>
      </c>
      <c r="I36">
        <v>5</v>
      </c>
      <c r="J36">
        <v>4</v>
      </c>
      <c r="K36">
        <v>1</v>
      </c>
      <c r="L36">
        <v>7</v>
      </c>
      <c r="M36" t="s">
        <v>25</v>
      </c>
      <c r="N36" t="s">
        <v>26</v>
      </c>
      <c r="O36" t="s">
        <v>27</v>
      </c>
      <c r="P36" t="s">
        <v>28</v>
      </c>
      <c r="Q36" t="s">
        <v>29</v>
      </c>
      <c r="R36" t="s">
        <v>41</v>
      </c>
      <c r="S36" t="s">
        <v>31</v>
      </c>
      <c r="T36">
        <f t="shared" si="2"/>
        <v>25</v>
      </c>
      <c r="U36" t="s">
        <v>32</v>
      </c>
      <c r="V36" t="s">
        <v>42</v>
      </c>
      <c r="W36" t="s">
        <v>27</v>
      </c>
      <c r="X36" t="s">
        <v>34</v>
      </c>
      <c r="Y36" t="s">
        <v>35</v>
      </c>
      <c r="Z36" t="s">
        <v>36</v>
      </c>
      <c r="AA36" t="s">
        <v>45</v>
      </c>
    </row>
    <row r="37" spans="1:27" x14ac:dyDescent="0.3">
      <c r="A37" t="s">
        <v>46</v>
      </c>
      <c r="B37">
        <f t="shared" si="0"/>
        <v>4</v>
      </c>
      <c r="C37">
        <f t="shared" si="1"/>
        <v>25</v>
      </c>
      <c r="D37">
        <v>30</v>
      </c>
      <c r="E37" t="s">
        <v>25</v>
      </c>
      <c r="F37">
        <v>1</v>
      </c>
      <c r="G37">
        <v>4</v>
      </c>
      <c r="H37">
        <v>6</v>
      </c>
      <c r="I37">
        <v>5</v>
      </c>
      <c r="J37">
        <v>3</v>
      </c>
      <c r="K37">
        <v>2</v>
      </c>
      <c r="L37">
        <v>7</v>
      </c>
      <c r="M37" t="s">
        <v>25</v>
      </c>
      <c r="N37" t="s">
        <v>60</v>
      </c>
      <c r="O37" t="s">
        <v>63</v>
      </c>
      <c r="P37" t="s">
        <v>28</v>
      </c>
      <c r="Q37" t="s">
        <v>47</v>
      </c>
      <c r="R37" t="s">
        <v>30</v>
      </c>
      <c r="S37" t="s">
        <v>31</v>
      </c>
      <c r="T37">
        <f t="shared" si="2"/>
        <v>25</v>
      </c>
      <c r="U37" t="s">
        <v>65</v>
      </c>
      <c r="V37" t="s">
        <v>42</v>
      </c>
      <c r="W37" t="s">
        <v>27</v>
      </c>
      <c r="X37" t="s">
        <v>34</v>
      </c>
      <c r="Y37" t="s">
        <v>51</v>
      </c>
      <c r="Z37" t="s">
        <v>36</v>
      </c>
      <c r="AA37" t="s">
        <v>45</v>
      </c>
    </row>
    <row r="38" spans="1:27" x14ac:dyDescent="0.3">
      <c r="A38" t="s">
        <v>46</v>
      </c>
      <c r="B38">
        <f t="shared" si="0"/>
        <v>2</v>
      </c>
      <c r="C38">
        <f t="shared" si="1"/>
        <v>25</v>
      </c>
      <c r="D38">
        <v>30</v>
      </c>
      <c r="E38" t="s">
        <v>25</v>
      </c>
      <c r="F38">
        <v>2</v>
      </c>
      <c r="G38">
        <v>4</v>
      </c>
      <c r="H38">
        <v>7</v>
      </c>
      <c r="I38">
        <v>5</v>
      </c>
      <c r="J38">
        <v>1</v>
      </c>
      <c r="K38">
        <v>3</v>
      </c>
      <c r="L38">
        <v>6</v>
      </c>
      <c r="M38" t="s">
        <v>25</v>
      </c>
      <c r="N38" t="s">
        <v>26</v>
      </c>
      <c r="O38" t="s">
        <v>27</v>
      </c>
      <c r="P38" t="s">
        <v>28</v>
      </c>
      <c r="Q38" t="s">
        <v>29</v>
      </c>
      <c r="R38" t="s">
        <v>30</v>
      </c>
      <c r="S38" t="s">
        <v>31</v>
      </c>
      <c r="T38">
        <f t="shared" si="2"/>
        <v>25</v>
      </c>
      <c r="U38" t="s">
        <v>49</v>
      </c>
      <c r="V38" t="s">
        <v>33</v>
      </c>
      <c r="W38" t="s">
        <v>27</v>
      </c>
      <c r="X38" t="s">
        <v>34</v>
      </c>
      <c r="Y38" t="s">
        <v>51</v>
      </c>
      <c r="Z38" t="s">
        <v>59</v>
      </c>
      <c r="AA38" t="s">
        <v>37</v>
      </c>
    </row>
    <row r="39" spans="1:27" x14ac:dyDescent="0.3">
      <c r="A39" t="s">
        <v>46</v>
      </c>
      <c r="B39">
        <f t="shared" si="0"/>
        <v>4</v>
      </c>
      <c r="C39">
        <f t="shared" si="1"/>
        <v>35</v>
      </c>
      <c r="D39">
        <v>25</v>
      </c>
      <c r="E39" t="s">
        <v>25</v>
      </c>
      <c r="F39">
        <v>5</v>
      </c>
      <c r="G39">
        <v>4</v>
      </c>
      <c r="H39">
        <v>7</v>
      </c>
      <c r="I39">
        <v>6</v>
      </c>
      <c r="J39">
        <v>1</v>
      </c>
      <c r="K39">
        <v>2</v>
      </c>
      <c r="L39">
        <v>3</v>
      </c>
      <c r="M39" t="s">
        <v>25</v>
      </c>
      <c r="N39" t="s">
        <v>60</v>
      </c>
      <c r="O39" t="s">
        <v>63</v>
      </c>
      <c r="P39" t="s">
        <v>64</v>
      </c>
      <c r="Q39" t="s">
        <v>47</v>
      </c>
      <c r="R39" t="s">
        <v>30</v>
      </c>
      <c r="S39" t="s">
        <v>61</v>
      </c>
      <c r="T39">
        <f t="shared" si="2"/>
        <v>35</v>
      </c>
      <c r="U39" t="s">
        <v>67</v>
      </c>
      <c r="V39" t="s">
        <v>42</v>
      </c>
      <c r="W39" t="s">
        <v>27</v>
      </c>
      <c r="X39" t="s">
        <v>34</v>
      </c>
      <c r="Y39" t="s">
        <v>35</v>
      </c>
      <c r="Z39" t="s">
        <v>36</v>
      </c>
      <c r="AA39" t="s">
        <v>45</v>
      </c>
    </row>
    <row r="40" spans="1:27" x14ac:dyDescent="0.3">
      <c r="A40" t="s">
        <v>46</v>
      </c>
      <c r="B40">
        <f t="shared" si="0"/>
        <v>2</v>
      </c>
      <c r="C40">
        <f t="shared" si="1"/>
        <v>25</v>
      </c>
      <c r="D40">
        <v>31</v>
      </c>
      <c r="E40" t="s">
        <v>25</v>
      </c>
      <c r="F40">
        <v>2</v>
      </c>
      <c r="G40">
        <v>4</v>
      </c>
      <c r="H40">
        <v>7</v>
      </c>
      <c r="I40">
        <v>5</v>
      </c>
      <c r="J40">
        <v>3</v>
      </c>
      <c r="K40">
        <v>1</v>
      </c>
      <c r="L40">
        <v>6</v>
      </c>
      <c r="M40" t="s">
        <v>25</v>
      </c>
      <c r="N40" t="s">
        <v>60</v>
      </c>
      <c r="O40" t="s">
        <v>63</v>
      </c>
      <c r="P40" t="s">
        <v>28</v>
      </c>
      <c r="Q40" t="s">
        <v>29</v>
      </c>
      <c r="R40" t="s">
        <v>41</v>
      </c>
      <c r="S40" t="s">
        <v>31</v>
      </c>
      <c r="T40">
        <f t="shared" si="2"/>
        <v>25</v>
      </c>
      <c r="U40" t="s">
        <v>49</v>
      </c>
      <c r="V40" t="s">
        <v>42</v>
      </c>
      <c r="W40" t="s">
        <v>43</v>
      </c>
      <c r="X40" t="s">
        <v>56</v>
      </c>
      <c r="Y40" t="s">
        <v>51</v>
      </c>
      <c r="Z40" t="s">
        <v>36</v>
      </c>
      <c r="AA40" t="s">
        <v>37</v>
      </c>
    </row>
    <row r="41" spans="1:27" x14ac:dyDescent="0.3">
      <c r="A41" t="s">
        <v>46</v>
      </c>
      <c r="B41">
        <f t="shared" si="0"/>
        <v>4</v>
      </c>
      <c r="C41">
        <f t="shared" si="1"/>
        <v>25</v>
      </c>
      <c r="D41">
        <v>29</v>
      </c>
      <c r="E41" t="s">
        <v>25</v>
      </c>
      <c r="F41">
        <v>4</v>
      </c>
      <c r="G41">
        <v>3</v>
      </c>
      <c r="H41">
        <v>5</v>
      </c>
      <c r="I41">
        <v>7</v>
      </c>
      <c r="J41">
        <v>2</v>
      </c>
      <c r="K41">
        <v>1</v>
      </c>
      <c r="L41">
        <v>6</v>
      </c>
      <c r="M41" t="s">
        <v>25</v>
      </c>
      <c r="N41" t="s">
        <v>26</v>
      </c>
      <c r="O41" t="s">
        <v>27</v>
      </c>
      <c r="P41" t="s">
        <v>28</v>
      </c>
      <c r="Q41" t="s">
        <v>47</v>
      </c>
      <c r="R41" t="s">
        <v>30</v>
      </c>
      <c r="S41" t="s">
        <v>31</v>
      </c>
      <c r="T41">
        <f t="shared" si="2"/>
        <v>25</v>
      </c>
      <c r="U41" t="s">
        <v>65</v>
      </c>
      <c r="V41" t="s">
        <v>33</v>
      </c>
      <c r="W41" t="s">
        <v>43</v>
      </c>
      <c r="X41" t="s">
        <v>34</v>
      </c>
      <c r="Y41" t="s">
        <v>35</v>
      </c>
      <c r="Z41" t="s">
        <v>36</v>
      </c>
      <c r="AA41" t="s">
        <v>45</v>
      </c>
    </row>
  </sheetData>
  <pageMargins left="0.7" right="0.7" top="0.75" bottom="0.75" header="0.3" footer="0.3"/>
  <ignoredErrors>
    <ignoredError sqref="T2:T3" calculatedColumn="1"/>
  </ignoredErrors>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task1</vt:lpstr>
      <vt:lpstr>task2</vt:lpstr>
      <vt:lpstr>task3</vt:lpstr>
      <vt:lpstr>task4</vt:lpstr>
      <vt:lpstr>task5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keerthi nammi</dc:creator>
  <cp:lastModifiedBy>keerthi nammi</cp:lastModifiedBy>
  <dcterms:created xsi:type="dcterms:W3CDTF">2026-03-16T06:15:56Z</dcterms:created>
  <dcterms:modified xsi:type="dcterms:W3CDTF">2026-03-16T11:16:59Z</dcterms:modified>
</cp:coreProperties>
</file>